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tables/table1.xml" ContentType="application/vnd.openxmlformats-officedocument.spreadsheetml.table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/>
  <mc:AlternateContent xmlns:mc="http://schemas.openxmlformats.org/markup-compatibility/2006">
    <mc:Choice Requires="x15">
      <x15ac:absPath xmlns:x15ac="http://schemas.microsoft.com/office/spreadsheetml/2010/11/ac" url="C:\Users\othma\OneDrive\Desktop\"/>
    </mc:Choice>
  </mc:AlternateContent>
  <xr:revisionPtr revIDLastSave="0" documentId="13_ncr:1_{F31E41BD-20A6-4AF5-BD91-7F87E5449DD0}" xr6:coauthVersionLast="47" xr6:coauthVersionMax="47" xr10:uidLastSave="{00000000-0000-0000-0000-000000000000}"/>
  <bookViews>
    <workbookView xWindow="-110" yWindow="-110" windowWidth="19420" windowHeight="12220" tabRatio="582" firstSheet="65" activeTab="65" xr2:uid="{00000000-000D-0000-FFFF-FFFF00000000}"/>
  </bookViews>
  <sheets>
    <sheet name="BL ACIMA HAY RIAD 2019-038" sheetId="338" r:id="rId1"/>
    <sheet name="ACIMA HAY RIAD 038" sheetId="327" r:id="rId2"/>
    <sheet name="bl ACIMA GHANDI 2019-039" sheetId="328" r:id="rId3"/>
    <sheet name="ACIMA GHANDI 2019-039" sheetId="335" r:id="rId4"/>
    <sheet name="ACIM TWIN 2019-040" sheetId="336" r:id="rId5"/>
    <sheet name="BL ACIMA  TWIN 2019-040" sheetId="337" r:id="rId6"/>
    <sheet name="BL ACIMA TWIN 2019-041" sheetId="339" r:id="rId7"/>
    <sheet name="ACIMA TWIN 2019-041" sheetId="340" r:id="rId8"/>
    <sheet name="ACIMA HAY RIAD 2019-024" sheetId="342" r:id="rId9"/>
    <sheet name="BL ACIMA HAY RIAD 2019-024" sheetId="343" r:id="rId10"/>
    <sheet name="ACIMA GUELIZ 2019-037" sheetId="344" r:id="rId11"/>
    <sheet name="BL ACIMA GUELIZ 2019-037" sheetId="345" r:id="rId12"/>
    <sheet name="ACIMA INARA 2019-035" sheetId="346" r:id="rId13"/>
    <sheet name="bl acima INARA 2019-035" sheetId="347" r:id="rId14"/>
    <sheet name="BL ACIMA EMILE ZOLA" sheetId="348" r:id="rId15"/>
    <sheet name="ACIMA EMILE 2019-036" sheetId="349" r:id="rId16"/>
    <sheet name="ACIMA GUELIZ 2019-042" sheetId="350" r:id="rId17"/>
    <sheet name="BL ACIMA GUELIZ 2019-042" sheetId="351" r:id="rId18"/>
    <sheet name="BL ACIMA GUELIZ 2019-043" sheetId="353" r:id="rId19"/>
    <sheet name="ACIMA GUELIZ 2019-043" sheetId="354" r:id="rId20"/>
    <sheet name="ACIMA GUELIZ 2019-044" sheetId="355" r:id="rId21"/>
    <sheet name="BL ACIMA GUELIZ 2019-044" sheetId="356" r:id="rId22"/>
    <sheet name="acima GHANDI 2019-045" sheetId="357" r:id="rId23"/>
    <sheet name="bl acima ghandi 2019-045" sheetId="358" r:id="rId24"/>
    <sheet name="ACIMA AL MASSIRA 2019-046" sheetId="360" r:id="rId25"/>
    <sheet name="BL ACIMA AL MASSIRA 2019-046" sheetId="361" r:id="rId26"/>
    <sheet name="MODELE FAC" sheetId="364" r:id="rId27"/>
    <sheet name="MODELE BL" sheetId="365" r:id="rId28"/>
    <sheet name="ACIMA RYAD ANFA 2019-61" sheetId="397" r:id="rId29"/>
    <sheet name="BL ACIMA RYAD ANFA 2019-061" sheetId="398" r:id="rId30"/>
    <sheet name="ACIMA MEKNES ZAITOUN" sheetId="403" r:id="rId31"/>
    <sheet name="BL ACIMA MEKNES ZAITOUN" sheetId="402" r:id="rId32"/>
    <sheet name="BL MEKNES ZAITOUN 2019-079" sheetId="407" r:id="rId33"/>
    <sheet name="MEKNES ZAITOUN 2019-079" sheetId="408" r:id="rId34"/>
    <sheet name="CODE" sheetId="401" r:id="rId35"/>
    <sheet name="ACIMA RABAT OCEAN2020-016" sheetId="409" r:id="rId36"/>
    <sheet name="BL ACIMA RABAT OCEAN" sheetId="410" r:id="rId37"/>
    <sheet name="BL TANGER CITY CENTER 2021-010" sheetId="411" r:id="rId38"/>
    <sheet name="TANGER CITY CENTER 2021-010" sheetId="412" r:id="rId39"/>
    <sheet name="BL MAR MARKET SIDI OTHMANE" sheetId="413" r:id="rId40"/>
    <sheet name="mar market s othmane 2021-065" sheetId="414" r:id="rId41"/>
    <sheet name="BORDEREAU DES PRIX" sheetId="415" r:id="rId42"/>
    <sheet name="Feuil1" sheetId="416" r:id="rId43"/>
    <sheet name="MARK FES-SEFROU" sheetId="419" r:id="rId44"/>
    <sheet name="BL MARK FES SEFROU 24-012" sheetId="420" r:id="rId45"/>
    <sheet name="BL MARK HARHOURA 24-063" sheetId="421" r:id="rId46"/>
    <sheet name="Feuil2" sheetId="429" r:id="rId47"/>
    <sheet name="Feuil3" sheetId="430" r:id="rId48"/>
    <sheet name="MARK HARHOURA 24-063" sheetId="422" r:id="rId49"/>
    <sheet name="MARK TEMARA 24-060" sheetId="423" r:id="rId50"/>
    <sheet name="BL MARK TEMARA 24-060" sheetId="424" r:id="rId51"/>
    <sheet name="MARK KENITRA 2024-062" sheetId="427" r:id="rId52"/>
    <sheet name="BL MARKT KENITRA 24-062" sheetId="428" r:id="rId53"/>
    <sheet name="MARK VILLE VERTE 25-001" sheetId="431" r:id="rId54"/>
    <sheet name="BL MARK VILLE VERTE 25-001" sheetId="432" r:id="rId55"/>
    <sheet name="MARK RABAT C CENTER 25-025" sheetId="425" r:id="rId56"/>
    <sheet name="BL MARK RABAT C CENTER 25-025" sheetId="426" r:id="rId57"/>
    <sheet name="MARK TANGER BOULEVARD 25-110" sheetId="433" r:id="rId58"/>
    <sheet name="BL MARK TANGER BOULEVARD 25-110" sheetId="434" r:id="rId59"/>
    <sheet name="MARK TANGER BOULEVARD 25-111" sheetId="435" r:id="rId60"/>
    <sheet name="BL MARK TANGER BOULEVARD 25-111" sheetId="436" r:id="rId61"/>
    <sheet name="MARK TANGER BOULEVARD 25-112" sheetId="442" r:id="rId62"/>
    <sheet name="BL MARK TANGER BOULEVARD 25-112" sheetId="437" r:id="rId63"/>
    <sheet name="MARK KENITRA MAAMOURA 26-010" sheetId="445" r:id="rId64"/>
    <sheet name="MARK TANGER CITY CENTER 25-115" sheetId="446" r:id="rId65"/>
    <sheet name="BL MARK TANGER CITY CENTER 115" sheetId="440" r:id="rId66"/>
    <sheet name="MARK ZAER 26-0177777" sheetId="443" r:id="rId67"/>
    <sheet name="BL MARK ZAER 26-01777777" sheetId="438" r:id="rId68"/>
    <sheet name="MARK TANGER 26-0188888" sheetId="447" r:id="rId69"/>
    <sheet name="BL MARK TANGER 26-0188888" sheetId="448" r:id="rId70"/>
    <sheet name="MARK IBERIA 26-047" sheetId="449" r:id="rId71"/>
    <sheet name="BL MARK IBERIA 26-047" sheetId="450" r:id="rId72"/>
    <sheet name="MARK TETOUAN 26-048" sheetId="451" r:id="rId73"/>
    <sheet name="BL MARK TETOUAN 26-048" sheetId="452" r:id="rId74"/>
    <sheet name="MARK BO VILLAGE 26-017" sheetId="460" r:id="rId75"/>
    <sheet name="BL MARK BO VILLAGE 26-017" sheetId="454" r:id="rId76"/>
    <sheet name="MARK OCEAN2 RABAT 26-018" sheetId="459" r:id="rId77"/>
    <sheet name="BL OCEAN 2 RABAT 26-018" sheetId="456" r:id="rId78"/>
    <sheet name="MARK MAAMOURA 26-019" sheetId="457" r:id="rId79"/>
    <sheet name="BL MARK MAAMOURA 26-019" sheetId="458" r:id="rId80"/>
  </sheets>
  <calcPr calcId="18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6" i="457" l="1"/>
  <c r="F35" i="457"/>
  <c r="F34" i="457"/>
  <c r="F32" i="457"/>
  <c r="F31" i="457"/>
  <c r="F30" i="457"/>
  <c r="E27" i="457"/>
  <c r="D27" i="457"/>
  <c r="B27" i="457"/>
  <c r="F24" i="457"/>
  <c r="F23" i="457"/>
  <c r="F22" i="457"/>
  <c r="F21" i="457"/>
  <c r="F20" i="457"/>
  <c r="F36" i="459"/>
  <c r="F35" i="459"/>
  <c r="F34" i="459"/>
  <c r="F32" i="459"/>
  <c r="F31" i="459"/>
  <c r="F30" i="459"/>
  <c r="E27" i="459"/>
  <c r="D27" i="459"/>
  <c r="B27" i="459"/>
  <c r="F24" i="459"/>
  <c r="F23" i="459"/>
  <c r="F22" i="459"/>
  <c r="F21" i="459"/>
  <c r="F20" i="459"/>
  <c r="F36" i="460"/>
  <c r="F35" i="460"/>
  <c r="F34" i="460"/>
  <c r="F32" i="460"/>
  <c r="F31" i="460"/>
  <c r="F30" i="460"/>
  <c r="E27" i="460"/>
  <c r="D27" i="460"/>
  <c r="B27" i="460"/>
  <c r="F24" i="460"/>
  <c r="F22" i="460"/>
  <c r="F21" i="460"/>
  <c r="F20" i="460"/>
  <c r="E31" i="451"/>
  <c r="D31" i="451"/>
  <c r="B31" i="451"/>
  <c r="F28" i="451"/>
  <c r="F20" i="451"/>
  <c r="E31" i="449"/>
  <c r="D31" i="449"/>
  <c r="B31" i="449"/>
  <c r="F28" i="449"/>
  <c r="F21" i="449"/>
  <c r="F20" i="449"/>
  <c r="E31" i="447"/>
  <c r="D31" i="447"/>
  <c r="B31" i="447"/>
  <c r="F28" i="447"/>
  <c r="F22" i="447"/>
  <c r="F21" i="447"/>
  <c r="F20" i="447"/>
  <c r="E35" i="443"/>
  <c r="D35" i="443"/>
  <c r="B35" i="443"/>
  <c r="F31" i="443"/>
  <c r="F20" i="443"/>
  <c r="E31" i="446"/>
  <c r="D31" i="446"/>
  <c r="B31" i="446"/>
  <c r="F28" i="446"/>
  <c r="F22" i="446"/>
  <c r="F21" i="446"/>
  <c r="F20" i="446"/>
  <c r="E35" i="445"/>
  <c r="D35" i="445"/>
  <c r="B35" i="445"/>
  <c r="F31" i="445"/>
  <c r="F20" i="445"/>
  <c r="E35" i="442"/>
  <c r="D35" i="442"/>
  <c r="B35" i="442"/>
  <c r="F31" i="442"/>
  <c r="F20" i="442"/>
  <c r="E35" i="435"/>
  <c r="D35" i="435"/>
  <c r="B35" i="435"/>
  <c r="F31" i="435"/>
  <c r="F20" i="435"/>
  <c r="E34" i="433"/>
  <c r="D34" i="433"/>
  <c r="B34" i="433"/>
  <c r="F30" i="433"/>
  <c r="F20" i="433"/>
  <c r="E35" i="425"/>
  <c r="D35" i="425"/>
  <c r="B35" i="425"/>
  <c r="F31" i="425"/>
  <c r="F20" i="425"/>
  <c r="E35" i="431"/>
  <c r="D35" i="431"/>
  <c r="B35" i="431"/>
  <c r="F31" i="431"/>
  <c r="F20" i="431"/>
  <c r="E35" i="427"/>
  <c r="D35" i="427"/>
  <c r="B35" i="427"/>
  <c r="F31" i="427"/>
  <c r="F20" i="427"/>
  <c r="E35" i="423"/>
  <c r="D35" i="423"/>
  <c r="B35" i="423"/>
  <c r="F31" i="423"/>
  <c r="F20" i="423"/>
  <c r="E35" i="422"/>
  <c r="D35" i="422"/>
  <c r="B35" i="422"/>
  <c r="F31" i="422"/>
  <c r="F20" i="422"/>
  <c r="E35" i="419"/>
  <c r="D35" i="419"/>
  <c r="B35" i="419"/>
  <c r="F31" i="419"/>
  <c r="F20" i="419"/>
  <c r="G22" i="416"/>
  <c r="G21" i="416"/>
  <c r="G20" i="416"/>
  <c r="G19" i="416"/>
  <c r="G18" i="416"/>
  <c r="G17" i="416"/>
  <c r="G16" i="416"/>
  <c r="G15" i="416"/>
  <c r="G14" i="416"/>
  <c r="G13" i="416"/>
  <c r="G12" i="416"/>
  <c r="G11" i="416"/>
  <c r="G10" i="416"/>
  <c r="G9" i="416"/>
  <c r="G8" i="416"/>
  <c r="G7" i="416"/>
  <c r="G6" i="416"/>
  <c r="G5" i="416"/>
  <c r="F27" i="415"/>
  <c r="F26" i="415"/>
  <c r="F25" i="415"/>
  <c r="F24" i="415"/>
  <c r="F23" i="415"/>
  <c r="F22" i="415"/>
  <c r="F21" i="415"/>
  <c r="F20" i="415"/>
  <c r="F19" i="415"/>
  <c r="F18" i="415"/>
  <c r="F17" i="415"/>
  <c r="F16" i="415"/>
  <c r="F15" i="415"/>
  <c r="F14" i="415"/>
  <c r="F13" i="415"/>
  <c r="F12" i="415"/>
  <c r="F11" i="415"/>
  <c r="F10" i="415"/>
  <c r="F9" i="415"/>
  <c r="E36" i="414"/>
  <c r="D36" i="414"/>
  <c r="B36" i="414"/>
  <c r="F32" i="414"/>
  <c r="F20" i="414"/>
  <c r="E35" i="412"/>
  <c r="D35" i="412"/>
  <c r="B35" i="412"/>
  <c r="F31" i="412"/>
  <c r="F22" i="412"/>
  <c r="F21" i="412"/>
  <c r="F20" i="412"/>
  <c r="E36" i="409"/>
  <c r="D36" i="409"/>
  <c r="B36" i="409"/>
  <c r="F32" i="409"/>
  <c r="F21" i="409"/>
  <c r="F20" i="409"/>
  <c r="E36" i="408"/>
  <c r="D36" i="408"/>
  <c r="B36" i="408"/>
  <c r="F32" i="408"/>
  <c r="F20" i="408"/>
  <c r="E36" i="403"/>
  <c r="D36" i="403"/>
  <c r="B36" i="403"/>
  <c r="F32" i="403"/>
  <c r="F20" i="403"/>
  <c r="E36" i="397"/>
  <c r="D36" i="397"/>
  <c r="B36" i="397"/>
  <c r="F32" i="397"/>
  <c r="F20" i="397"/>
  <c r="E36" i="364"/>
  <c r="D36" i="364"/>
  <c r="B36" i="364"/>
  <c r="F32" i="364"/>
  <c r="E36" i="360"/>
  <c r="D36" i="360"/>
  <c r="B36" i="360"/>
  <c r="F32" i="360"/>
  <c r="F20" i="360"/>
  <c r="E36" i="357"/>
  <c r="D36" i="357"/>
  <c r="B36" i="357"/>
  <c r="F32" i="357"/>
  <c r="F20" i="357"/>
  <c r="E36" i="355"/>
  <c r="D36" i="355"/>
  <c r="B36" i="355"/>
  <c r="F32" i="355"/>
  <c r="F20" i="355"/>
  <c r="E36" i="354"/>
  <c r="D36" i="354"/>
  <c r="B36" i="354"/>
  <c r="F32" i="354"/>
  <c r="F20" i="354"/>
  <c r="E36" i="350"/>
  <c r="D36" i="350"/>
  <c r="B36" i="350"/>
  <c r="F32" i="350"/>
  <c r="F20" i="350"/>
  <c r="E36" i="349"/>
  <c r="D36" i="349"/>
  <c r="B36" i="349"/>
  <c r="F32" i="349"/>
  <c r="F20" i="349"/>
  <c r="E36" i="346"/>
  <c r="D36" i="346"/>
  <c r="B36" i="346"/>
  <c r="F32" i="346"/>
  <c r="F21" i="346"/>
  <c r="F20" i="346"/>
  <c r="E36" i="344"/>
  <c r="D36" i="344"/>
  <c r="B36" i="344"/>
  <c r="F32" i="344"/>
  <c r="F20" i="344"/>
  <c r="E34" i="342"/>
  <c r="D34" i="342"/>
  <c r="B34" i="342"/>
  <c r="F30" i="342"/>
  <c r="F26" i="342"/>
  <c r="F25" i="342"/>
  <c r="F24" i="342"/>
  <c r="F23" i="342"/>
  <c r="F22" i="342"/>
  <c r="F21" i="342"/>
  <c r="F20" i="342"/>
  <c r="E36" i="340"/>
  <c r="D36" i="340"/>
  <c r="B36" i="340"/>
  <c r="F32" i="340"/>
  <c r="F21" i="340"/>
  <c r="F20" i="340"/>
  <c r="E36" i="336"/>
  <c r="D36" i="336"/>
  <c r="B36" i="336"/>
  <c r="F32" i="336"/>
  <c r="F20" i="336"/>
  <c r="E36" i="335"/>
  <c r="D36" i="335"/>
  <c r="B36" i="335"/>
  <c r="F32" i="335"/>
  <c r="F21" i="335"/>
  <c r="F20" i="335"/>
  <c r="E36" i="327"/>
  <c r="D36" i="327"/>
  <c r="B36" i="327"/>
  <c r="F32" i="327"/>
  <c r="F20" i="327"/>
</calcChain>
</file>

<file path=xl/sharedStrings.xml><?xml version="1.0" encoding="utf-8"?>
<sst xmlns="http://schemas.openxmlformats.org/spreadsheetml/2006/main" count="987" uniqueCount="154">
  <si>
    <t>CODE</t>
  </si>
  <si>
    <t>Désignations</t>
  </si>
  <si>
    <t xml:space="preserve">Qté </t>
  </si>
  <si>
    <t>Prix Unitaire</t>
  </si>
  <si>
    <t>OX 001</t>
  </si>
  <si>
    <t>Travaux de peinture des murs surface vente</t>
  </si>
  <si>
    <t xml:space="preserve"> </t>
  </si>
  <si>
    <t>Chantier ACIMA RABAT LASAR HAY RIAD</t>
  </si>
  <si>
    <t>Qté</t>
  </si>
  <si>
    <t>P.U HT</t>
  </si>
  <si>
    <t>Montant  HT</t>
  </si>
  <si>
    <t>Chantier: ACIMA RABAT LASAR HAY RIAD</t>
  </si>
  <si>
    <t xml:space="preserve">TOTAL HORS TAXE   </t>
  </si>
  <si>
    <t xml:space="preserve">        </t>
  </si>
  <si>
    <t>Total HT</t>
  </si>
  <si>
    <t>Total TVA</t>
  </si>
  <si>
    <t>Total TTC en DHS</t>
  </si>
  <si>
    <t>Chantier ACIMA GHANDI</t>
  </si>
  <si>
    <t>Chantier: ACIMA GHANDI</t>
  </si>
  <si>
    <t>Travaux de peinture de la façade</t>
  </si>
  <si>
    <t>Chantier: ACIMA TWIN</t>
  </si>
  <si>
    <t>Chantier ACIMA TWIN</t>
  </si>
  <si>
    <t>OX 004</t>
  </si>
  <si>
    <t>Travaux de peinture de la structure alucobond surface</t>
  </si>
  <si>
    <t>Chantier: ACIMA RABAT HAY LASAR HAY RIAD</t>
  </si>
  <si>
    <t>Chantier: ACIMA MARRAKECH GUELIZ</t>
  </si>
  <si>
    <t>Chantier ACIMA MARRAKECH GUEIZ</t>
  </si>
  <si>
    <t>OX 005</t>
  </si>
  <si>
    <t>Revêtement en peinture acrylique en phase acqueuse PRIMACRYL 697 pour bardage métalique</t>
  </si>
  <si>
    <t>Chantier: ACIMA INARA</t>
  </si>
  <si>
    <t>Chantier ACIMA INARA</t>
  </si>
  <si>
    <t>Chantier ACIMA EMILE ZOLA</t>
  </si>
  <si>
    <t>Chantier: ACIMA EMILE ZOLA</t>
  </si>
  <si>
    <t>Chantier ACIMA MARRAKECH GUELIZ</t>
  </si>
  <si>
    <t>Chantier: ACIMA MARRAKECH AL MASSIRA</t>
  </si>
  <si>
    <t>Chantier ACIMA MARRAKECH AL MASSIRA</t>
  </si>
  <si>
    <t>Chantier: MAJANE</t>
  </si>
  <si>
    <t xml:space="preserve">Chantier MARJANE </t>
  </si>
  <si>
    <t>Chantier: ACIMA RYAD ANFA</t>
  </si>
  <si>
    <t>Travaux de peinture de le façade</t>
  </si>
  <si>
    <t>Chantier ACIMA RYAD ANFA</t>
  </si>
  <si>
    <t>Travaux de peinture des murs surface vente.</t>
  </si>
  <si>
    <t>Chantier ACIMA MEKNES ZAITOUN</t>
  </si>
  <si>
    <t>Travaux de peinture décorative TERRACOTA surface vente.</t>
  </si>
  <si>
    <t>OX 010</t>
  </si>
  <si>
    <t>LIBELLE</t>
  </si>
  <si>
    <t>OX -001</t>
  </si>
  <si>
    <t xml:space="preserve">PEINTURE FACADE </t>
  </si>
  <si>
    <t>PEINTURE DES MURS SURFACE VENTE</t>
  </si>
  <si>
    <t>OX -002</t>
  </si>
  <si>
    <t xml:space="preserve">PEINTURE DES MURS SURFACE VENTE
ET MAIL EN TEINTE NOIR </t>
  </si>
  <si>
    <t>OX -003</t>
  </si>
  <si>
    <t xml:space="preserve">PEINTURE DES POTEAUX ET CONDUITE 
PLUVIALES </t>
  </si>
  <si>
    <t>OX -004</t>
  </si>
  <si>
    <t xml:space="preserve">PEINTURE ALUCOBOND </t>
  </si>
  <si>
    <t>OX -005</t>
  </si>
  <si>
    <t xml:space="preserve">PEINTURE EN PRIMARLYL 697 </t>
  </si>
  <si>
    <t>OX -006</t>
  </si>
  <si>
    <t>PEINTURE INTERCRYL 525</t>
  </si>
  <si>
    <t>OX -007</t>
  </si>
  <si>
    <t>Résine epoxy 10mm d'épaisseur
 pour chambre surgelée</t>
  </si>
  <si>
    <t>OX -008</t>
  </si>
  <si>
    <t>Revêtement du sol industriel en résine époxy système multicouche auto lissante épaisseur 2-3 mm y compris le traçage et le revêtement du plafond acrylique blanche. DR36660</t>
  </si>
  <si>
    <t>OX -009</t>
  </si>
  <si>
    <t>Revêtement du sol industriel en résine époxy  sur carrelage épaisseur 3 mm</t>
  </si>
  <si>
    <t>OX-010</t>
  </si>
  <si>
    <t>Chantier: ACIMA RABAT OCEAN</t>
  </si>
  <si>
    <t>Chantier ACIMA RABAT OCEAN</t>
  </si>
  <si>
    <t>Revêtement en peinture acrylique en phase aqueuse PRIMACRYL 697 pour bardage métallique.</t>
  </si>
  <si>
    <t>Chantier ACIMA TANGER CITY CENTER</t>
  </si>
  <si>
    <t>Chantier: ACIMA TANGER CITY CENTER</t>
  </si>
  <si>
    <t>Travaux de peinture des murs surface vente et mail en teinte noire</t>
  </si>
  <si>
    <t>Chantier MARJANE MARKET SIDI OTHMANE</t>
  </si>
  <si>
    <t>Chantier: MARJANE MARKET SIDI OTHMANE</t>
  </si>
  <si>
    <t>BORDEREAUX DES PRIX DU PROJET D'AMENAGEMENT DES MAGASINS MARJANE MARKET</t>
  </si>
  <si>
    <t>N°PRIX</t>
  </si>
  <si>
    <t>DESIGNATION</t>
  </si>
  <si>
    <t>UNITE</t>
  </si>
  <si>
    <t>QUANTITE</t>
  </si>
  <si>
    <t>P.U H.T</t>
  </si>
  <si>
    <t>TOTAL H.T</t>
  </si>
  <si>
    <t>Peinture acrylique mate à solvant/vinylique en façades</t>
  </si>
  <si>
    <t>m²</t>
  </si>
  <si>
    <t>Peinture vinylique sans enduits sur plafonds et chemins de câbles</t>
  </si>
  <si>
    <t>Peinture vinylique sur murs</t>
  </si>
  <si>
    <t>Peinture vinylique sur murs réserve et parking sans enduits</t>
  </si>
  <si>
    <t>Peinture TERRACOTTA sur murs</t>
  </si>
  <si>
    <t>Enduit TERRACOTTA sur murs</t>
  </si>
  <si>
    <t>Peinture Glycéro laquée brillant sur murs</t>
  </si>
  <si>
    <t>Peinture de marquage et signalisation</t>
  </si>
  <si>
    <t>ML</t>
  </si>
  <si>
    <t>Peinture glycérophtalique sur menuiserie métallique et métaux ferreux</t>
  </si>
  <si>
    <t>Miroir de 1000 x 900 mm</t>
  </si>
  <si>
    <t>U</t>
  </si>
  <si>
    <t>Enduit au plâtre taloche ou projeté</t>
  </si>
  <si>
    <t>Faux plafond en staff lisse y compris corniche et joints creux</t>
  </si>
  <si>
    <t>Faux plafond en ba13 y compris joint creux et corniche</t>
  </si>
  <si>
    <t>Faux plafond Armstrong</t>
  </si>
  <si>
    <t>Cloison en BA 13 pour séparations tout compris</t>
  </si>
  <si>
    <t>Habillage en BA 13</t>
  </si>
  <si>
    <t>TOTAL HT</t>
  </si>
  <si>
    <t>TVA 20%</t>
  </si>
  <si>
    <t>TOTAL TTC</t>
  </si>
  <si>
    <t>ALIGNEMENT</t>
  </si>
  <si>
    <t>DIFFERENCE</t>
  </si>
  <si>
    <t>Peinture électrostatique d'un élément Meuble froid haut (intérieur /extérieur) + étagères) En ML 2m50. Couleur au choix.</t>
  </si>
  <si>
    <t>Chantier: MARJANE MARKET FES SEFROU</t>
  </si>
  <si>
    <t>Chantier MARJANE MARKET FES SEFROU</t>
  </si>
  <si>
    <t>Chantier MARJANE MARKET HARHOURA</t>
  </si>
  <si>
    <t>Chantier: MARJANE MARKET HARHOURA</t>
  </si>
  <si>
    <t>Peinture électrostatique d'un élément Meuble froid bas (intérieur /extérieur) + étagères) En ML 2m50. Couleur au choix.</t>
  </si>
  <si>
    <t>Chantier: MARJANE MARKET TEMARA</t>
  </si>
  <si>
    <t>Chantier MARJANE MARKET TEMARA</t>
  </si>
  <si>
    <t>Peinture liquide électrostatique : CAISSE GRANDE AVEC TAPIS DROITE /GAUCHE 3000mm</t>
  </si>
  <si>
    <t>Chantier: MARJANE MARKET KENITRA</t>
  </si>
  <si>
    <t>Chantier MARJANE MARKET KENITRA</t>
  </si>
  <si>
    <t>Chantier: MARJANE MARKET VILLE VERTE</t>
  </si>
  <si>
    <t>Chantier MARJANE MARKET VILLE VERTE</t>
  </si>
  <si>
    <t>Chantier: MARJANE MARKET RABAT CITY CENTER</t>
  </si>
  <si>
    <t>Chantier MARJANE MARKET RABAT CITY CENTER</t>
  </si>
  <si>
    <t>Peinture électrostatique d'un élément de gondole de 2m20 par 1m33 nB+6 (=7 tablettes) couleur au choix y compris accessoirs</t>
  </si>
  <si>
    <t>Chantier: MARJANE MARKET TANGER BOULEVARD</t>
  </si>
  <si>
    <t>Chantier MARJANE MARKET TANGER BOULEVARD</t>
  </si>
  <si>
    <t>Peinture liquide électrostatique: CAISSE GRANDE  AVEC TAPIS DROITE/GAUCHE 3000mm</t>
  </si>
  <si>
    <t xml:space="preserve">Peinture acrylique mate à solvant / vinylique e façades </t>
  </si>
  <si>
    <t>Chantier: MARJANE MARKET KENITRA MAAMOURA</t>
  </si>
  <si>
    <t>Peinture électrostatique d'un élément Meuble froid bas (intérieur /extérieur) + étagères) En ML. Couleur au choix.</t>
  </si>
  <si>
    <t>Peinture liquide électrostatique: CAISSE MARMARA  AVEC TAPIS DROITE/GAUCHE 3750mm</t>
  </si>
  <si>
    <t>Chantier: MARJANE MARKET TANGER CITY CENTER</t>
  </si>
  <si>
    <t>Chantier MARJANE MARKET TANGER CITY CENTER</t>
  </si>
  <si>
    <t>Chantier: MARJANE MARKET ZAER</t>
  </si>
  <si>
    <t>Chantier MARJANE MARKET ZAER</t>
  </si>
  <si>
    <t>Chantier: MARJANE MARKET TANGER</t>
  </si>
  <si>
    <t>Chantier MARJANE MARKET TANGER</t>
  </si>
  <si>
    <t>Chantier: MARJANE MARKET TANGER IBERIA</t>
  </si>
  <si>
    <t>Chantier MARJANE MARKET TANGER IBERIA</t>
  </si>
  <si>
    <t>Chantier: MARJANE MARKET TETOUAN</t>
  </si>
  <si>
    <t>Chantier MARJANE MARKET TETOUAN</t>
  </si>
  <si>
    <t>peinture vinylique sans enduits sur murs</t>
  </si>
  <si>
    <t>Enduit TERRACOTA sur murs</t>
  </si>
  <si>
    <t>Chantier: MARJANE MARKET BO VILLAGE</t>
  </si>
  <si>
    <t>RETENU GARANTIE HORS TAXES                                                                 10%</t>
  </si>
  <si>
    <t>RETENU COMPTE PRORATA HORS TAXES                                                02%</t>
  </si>
  <si>
    <t>ASSURANCES TRC/RCD HORS TAXES                                                      1,20%</t>
  </si>
  <si>
    <t xml:space="preserve"> PAIEMENT SUR MARCHE                                                                                       HT</t>
  </si>
  <si>
    <t xml:space="preserve"> TVA                                                                                                                             20%</t>
  </si>
  <si>
    <t>MONTANT DU PAIEMENT                                                                                  TTC</t>
  </si>
  <si>
    <t>Chantier MARJANE MARKET BO VILLAGE</t>
  </si>
  <si>
    <t>Chantier: MARJANE MARKET OCEAN 2 RABAT</t>
  </si>
  <si>
    <t>Chantier MARJANE MARKET OCEAN 2 RABAT</t>
  </si>
  <si>
    <t>Chantier: MARJANE MARKET MAAMOURA KENITRA</t>
  </si>
  <si>
    <t xml:space="preserve"> PAIEMENT SUR MARCHE                                                       </t>
  </si>
  <si>
    <t>MONTANT DU PAIEMENT</t>
  </si>
  <si>
    <t>Chantier MARJANE MARKET MAAMOURA KENITRA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</si>
</sst>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\ &quot;€&quot;;[Red]\-#,##0.00\ &quot;€&quot;"/>
    <numFmt numFmtId="165" formatCode="_-* #,##0.00\ _€_-;\-* #,##0.00\ _€_-;_-* &quot;-&quot;??\ _€_-;_-@_-"/>
    <numFmt numFmtId="166" formatCode="#,##0.00\ _€"/>
    <numFmt numFmtId="167" formatCode="_-* #,##0\ _€_-;\-* #,##0\ _€_-;_-* &quot;-&quot;\ _€_-;_-@_-"/>
  </numFmts>
  <fonts count="25">
    <font>
      <sz val="11"/>
      <color rgb="FF000000"/>
      <name val="Calibri"/>
      <charset val="204"/>
    </font>
    <font>
      <b/>
      <sz val="8"/>
      <color rgb="FF00003A"/>
      <name val="Arial"/>
      <charset val="134"/>
    </font>
    <font>
      <sz val="8"/>
      <color rgb="FF00003A"/>
      <name val="Arial"/>
      <charset val="134"/>
    </font>
    <font>
      <sz val="8"/>
      <color rgb="FF000000"/>
      <name val="Calibri"/>
      <charset val="134"/>
    </font>
    <font>
      <sz val="9"/>
      <color rgb="FF00003A"/>
      <name val="Arial"/>
      <charset val="134"/>
    </font>
    <font>
      <b/>
      <sz val="11"/>
      <color rgb="FF3F3F3F"/>
      <name val="Calibri"/>
      <charset val="134"/>
      <scheme val="minor"/>
    </font>
    <font>
      <b/>
      <sz val="11"/>
      <color rgb="FF002060"/>
      <name val="Calibri"/>
      <charset val="134"/>
      <scheme val="minor"/>
    </font>
    <font>
      <sz val="8"/>
      <color rgb="FF000000"/>
      <name val="Calibri"/>
      <charset val="204"/>
    </font>
    <font>
      <b/>
      <i/>
      <sz val="10"/>
      <color theme="3" tint="0.34998626667073579"/>
      <name val="Calibri"/>
      <charset val="134"/>
      <scheme val="minor"/>
    </font>
    <font>
      <sz val="9"/>
      <color rgb="FF000000"/>
      <name val="Calibri"/>
      <charset val="204"/>
    </font>
    <font>
      <b/>
      <sz val="11"/>
      <color rgb="FF000000"/>
      <name val="Calibri"/>
      <charset val="134"/>
    </font>
    <font>
      <b/>
      <i/>
      <sz val="12"/>
      <color rgb="FF000000"/>
      <name val="Calibri"/>
      <charset val="134"/>
    </font>
    <font>
      <b/>
      <i/>
      <sz val="10"/>
      <color theme="1" tint="0.34998626667073579"/>
      <name val="Calibri"/>
      <charset val="134"/>
      <scheme val="minor"/>
    </font>
    <font>
      <b/>
      <sz val="12"/>
      <color rgb="FF002060"/>
      <name val="Calibri"/>
      <charset val="134"/>
      <scheme val="minor"/>
    </font>
    <font>
      <b/>
      <sz val="12"/>
      <color rgb="FF000000"/>
      <name val="Calibri"/>
      <charset val="134"/>
    </font>
    <font>
      <b/>
      <sz val="12"/>
      <color rgb="FF002060"/>
      <name val="Calibri"/>
      <charset val="134"/>
    </font>
    <font>
      <b/>
      <i/>
      <sz val="10"/>
      <color theme="3" tint="0.499984740745262"/>
      <name val="Calibri"/>
      <charset val="134"/>
      <scheme val="minor"/>
    </font>
    <font>
      <b/>
      <sz val="14"/>
      <color rgb="FF002060"/>
      <name val="Calibri"/>
      <charset val="134"/>
    </font>
    <font>
      <b/>
      <i/>
      <sz val="8"/>
      <color rgb="FFFF0000"/>
      <name val="Calibri"/>
      <charset val="134"/>
      <scheme val="minor"/>
    </font>
    <font>
      <sz val="12"/>
      <color rgb="FF000000"/>
      <name val="Calibri"/>
      <charset val="204"/>
    </font>
    <font>
      <b/>
      <sz val="11"/>
      <color rgb="FFFF0000"/>
      <name val="Calibri"/>
      <charset val="134"/>
      <scheme val="minor"/>
    </font>
    <font>
      <sz val="12"/>
      <color rgb="FF000000"/>
      <name val="Calibri"/>
      <charset val="134"/>
    </font>
    <font>
      <b/>
      <sz val="11"/>
      <color rgb="FFFA7D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rgb="FF000000"/>
      <name val="Calibri"/>
      <charset val="204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  <bgColor indexed="64"/>
      </patternFill>
    </fill>
  </fills>
  <borders count="62">
    <border>
      <left/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theme="4" tint="-0.499984740745262"/>
      </bottom>
      <diagonal/>
    </border>
    <border>
      <left style="medium">
        <color auto="1"/>
      </left>
      <right style="medium">
        <color theme="4" tint="-0.499984740745262"/>
      </right>
      <top style="medium">
        <color auto="1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auto="1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auto="1"/>
      </right>
      <top style="medium">
        <color auto="1"/>
      </top>
      <bottom style="medium">
        <color theme="4" tint="-0.499984740745262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rgb="FF7F7F7F"/>
      </right>
      <top style="medium">
        <color auto="1"/>
      </top>
      <bottom style="medium">
        <color auto="1"/>
      </bottom>
      <diagonal/>
    </border>
    <border>
      <left style="thin">
        <color rgb="FF7F7F7F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rgb="FF7F7F7F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/>
      <diagonal/>
    </border>
    <border>
      <left/>
      <right style="medium">
        <color theme="4" tint="-0.499984740745262"/>
      </right>
      <top style="medium">
        <color theme="4" tint="-0.499984740745262"/>
      </top>
      <bottom/>
      <diagonal/>
    </border>
    <border>
      <left/>
      <right style="medium">
        <color theme="7"/>
      </right>
      <top style="medium">
        <color theme="7"/>
      </top>
      <bottom/>
      <diagonal/>
    </border>
    <border>
      <left style="medium">
        <color theme="7"/>
      </left>
      <right/>
      <top style="medium">
        <color theme="7"/>
      </top>
      <bottom/>
      <diagonal/>
    </border>
    <border>
      <left style="medium">
        <color theme="4" tint="-0.499984740745262"/>
      </left>
      <right/>
      <top/>
      <bottom style="medium">
        <color theme="4" tint="-0.499984740745262"/>
      </bottom>
      <diagonal/>
    </border>
    <border>
      <left/>
      <right style="medium">
        <color theme="4" tint="-0.499984740745262"/>
      </right>
      <top/>
      <bottom style="medium">
        <color theme="4" tint="-0.499984740745262"/>
      </bottom>
      <diagonal/>
    </border>
    <border>
      <left/>
      <right style="medium">
        <color theme="7"/>
      </right>
      <top/>
      <bottom style="medium">
        <color theme="7"/>
      </bottom>
      <diagonal/>
    </border>
    <border>
      <left style="medium">
        <color theme="7"/>
      </left>
      <right/>
      <top/>
      <bottom style="medium">
        <color theme="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rgb="FF7F7F7F"/>
      </left>
      <right/>
      <top style="thin">
        <color auto="1"/>
      </top>
      <bottom style="thin">
        <color rgb="FF7F7F7F"/>
      </bottom>
      <diagonal/>
    </border>
    <border>
      <left/>
      <right style="thin">
        <color rgb="FF7F7F7F"/>
      </right>
      <top style="thin">
        <color auto="1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 style="thin">
        <color auto="1"/>
      </right>
      <top/>
      <bottom/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/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/>
      <right/>
      <top style="thin">
        <color theme="4" tint="-0.499984740745262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theme="4" tint="-0.499984740745262"/>
      </left>
      <right style="thin">
        <color theme="4" tint="-0.499984740745262"/>
      </right>
      <top style="thin">
        <color theme="4" tint="-0.499984740745262"/>
      </top>
      <bottom/>
      <diagonal/>
    </border>
    <border>
      <left style="thin">
        <color theme="4" tint="-0.499984740745262"/>
      </left>
      <right style="thin">
        <color theme="4" tint="-0.499984740745262"/>
      </right>
      <top/>
      <bottom style="thin">
        <color theme="4" tint="-0.499984740745262"/>
      </bottom>
      <diagonal/>
    </border>
    <border>
      <left style="thin">
        <color auto="1"/>
      </left>
      <right style="thin">
        <color auto="1"/>
      </right>
      <top/>
      <bottom style="medium">
        <color theme="4" tint="-0.499984740745262"/>
      </bottom>
      <diagonal/>
    </border>
    <border>
      <left style="medium">
        <color theme="4" tint="-0.499984740745262"/>
      </left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/>
      <top style="medium">
        <color theme="4" tint="-0.499984740745262"/>
      </top>
      <bottom style="medium">
        <color theme="4" tint="-0.499984740745262"/>
      </bottom>
      <diagonal/>
    </border>
    <border>
      <left/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/>
      <right/>
      <top/>
      <bottom style="thin">
        <color theme="4" tint="-0.499984740745262"/>
      </bottom>
      <diagonal/>
    </border>
    <border>
      <left/>
      <right/>
      <top style="medium">
        <color auto="1"/>
      </top>
      <bottom style="thin">
        <color theme="4" tint="-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6">
    <xf numFmtId="0" fontId="0" fillId="0" borderId="0"/>
    <xf numFmtId="165" fontId="24" fillId="0" borderId="0" applyFont="0" applyFill="0" applyBorder="0" applyAlignment="0" applyProtection="0"/>
    <xf numFmtId="0" fontId="5" fillId="8" borderId="61" applyNumberFormat="0" applyAlignment="0" applyProtection="0"/>
    <xf numFmtId="0" fontId="22" fillId="8" borderId="60" applyNumberFormat="0" applyAlignment="0" applyProtection="0"/>
    <xf numFmtId="165" fontId="23" fillId="0" borderId="0" applyFont="0" applyFill="0" applyBorder="0" applyAlignment="0" applyProtection="0"/>
    <xf numFmtId="0" fontId="23" fillId="0" borderId="0"/>
  </cellStyleXfs>
  <cellXfs count="19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 indent="3"/>
    </xf>
    <xf numFmtId="0" fontId="0" fillId="0" borderId="0" xfId="0" applyAlignment="1">
      <alignment wrapText="1"/>
    </xf>
    <xf numFmtId="0" fontId="4" fillId="0" borderId="0" xfId="0" applyFont="1" applyAlignment="1">
      <alignment horizontal="left" indent="3"/>
    </xf>
    <xf numFmtId="0" fontId="5" fillId="2" borderId="1" xfId="2" applyFill="1" applyBorder="1" applyAlignment="1">
      <alignment horizontal="center" vertical="center"/>
    </xf>
    <xf numFmtId="0" fontId="6" fillId="0" borderId="2" xfId="3" applyFont="1" applyFill="1" applyBorder="1" applyAlignment="1">
      <alignment vertical="center"/>
    </xf>
    <xf numFmtId="2" fontId="6" fillId="0" borderId="3" xfId="3" applyNumberFormat="1" applyFont="1" applyFill="1" applyBorder="1" applyAlignment="1">
      <alignment vertical="top" wrapText="1"/>
    </xf>
    <xf numFmtId="165" fontId="6" fillId="0" borderId="3" xfId="1" applyFont="1" applyBorder="1" applyAlignment="1">
      <alignment horizontal="right" vertical="top" wrapText="1"/>
    </xf>
    <xf numFmtId="2" fontId="6" fillId="0" borderId="2" xfId="3" applyNumberFormat="1" applyFont="1" applyFill="1" applyBorder="1" applyAlignment="1">
      <alignment horizontal="right" vertical="top" wrapText="1"/>
    </xf>
    <xf numFmtId="165" fontId="6" fillId="0" borderId="3" xfId="1" applyFont="1" applyBorder="1" applyAlignment="1">
      <alignment horizontal="right" vertical="center"/>
    </xf>
    <xf numFmtId="0" fontId="6" fillId="0" borderId="4" xfId="3" applyFont="1" applyFill="1" applyBorder="1" applyAlignment="1">
      <alignment vertical="center"/>
    </xf>
    <xf numFmtId="2" fontId="6" fillId="0" borderId="3" xfId="3" applyNumberFormat="1" applyFont="1" applyFill="1" applyBorder="1" applyAlignment="1">
      <alignment vertical="center" wrapText="1"/>
    </xf>
    <xf numFmtId="2" fontId="6" fillId="0" borderId="4" xfId="3" applyNumberFormat="1" applyFont="1" applyFill="1" applyBorder="1" applyAlignment="1">
      <alignment vertical="center" wrapText="1"/>
    </xf>
    <xf numFmtId="0" fontId="6" fillId="0" borderId="4" xfId="3" applyFont="1" applyFill="1" applyBorder="1" applyAlignment="1">
      <alignment vertical="top"/>
    </xf>
    <xf numFmtId="2" fontId="6" fillId="0" borderId="4" xfId="3" applyNumberFormat="1" applyFont="1" applyFill="1" applyBorder="1" applyAlignment="1">
      <alignment vertical="top" wrapText="1"/>
    </xf>
    <xf numFmtId="0" fontId="6" fillId="0" borderId="5" xfId="3" applyFont="1" applyFill="1" applyBorder="1" applyAlignment="1">
      <alignment vertical="top"/>
    </xf>
    <xf numFmtId="2" fontId="6" fillId="0" borderId="5" xfId="3" applyNumberFormat="1" applyFont="1" applyFill="1" applyBorder="1" applyAlignment="1">
      <alignment vertical="top" wrapText="1"/>
    </xf>
    <xf numFmtId="0" fontId="7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5" fillId="2" borderId="10" xfId="2" applyFill="1" applyBorder="1" applyAlignment="1">
      <alignment horizontal="center" vertical="center"/>
    </xf>
    <xf numFmtId="0" fontId="5" fillId="2" borderId="11" xfId="2" applyFill="1" applyBorder="1" applyAlignment="1">
      <alignment horizontal="center" vertical="center"/>
    </xf>
    <xf numFmtId="0" fontId="5" fillId="2" borderId="12" xfId="2" applyFill="1" applyBorder="1" applyAlignment="1">
      <alignment horizontal="center" vertical="center"/>
    </xf>
    <xf numFmtId="0" fontId="6" fillId="0" borderId="13" xfId="3" applyFont="1" applyFill="1" applyBorder="1" applyAlignment="1">
      <alignment vertical="center"/>
    </xf>
    <xf numFmtId="165" fontId="6" fillId="0" borderId="14" xfId="1" applyFont="1" applyBorder="1" applyAlignment="1">
      <alignment horizontal="right" vertical="top"/>
    </xf>
    <xf numFmtId="0" fontId="6" fillId="0" borderId="13" xfId="3" applyFont="1" applyFill="1" applyBorder="1"/>
    <xf numFmtId="0" fontId="6" fillId="2" borderId="17" xfId="3" applyFont="1" applyFill="1" applyBorder="1"/>
    <xf numFmtId="0" fontId="6" fillId="2" borderId="18" xfId="3" applyFont="1" applyFill="1" applyBorder="1"/>
    <xf numFmtId="166" fontId="13" fillId="0" borderId="19" xfId="3" applyNumberFormat="1" applyFont="1" applyFill="1" applyBorder="1" applyAlignment="1">
      <alignment vertical="center"/>
    </xf>
    <xf numFmtId="0" fontId="12" fillId="0" borderId="0" xfId="3" applyFont="1" applyFill="1" applyBorder="1" applyAlignment="1">
      <alignment horizontal="left"/>
    </xf>
    <xf numFmtId="0" fontId="6" fillId="0" borderId="0" xfId="3" applyFont="1" applyFill="1" applyBorder="1"/>
    <xf numFmtId="166" fontId="13" fillId="0" borderId="0" xfId="3" applyNumberFormat="1" applyFont="1" applyFill="1" applyBorder="1" applyAlignment="1">
      <alignment vertical="center"/>
    </xf>
    <xf numFmtId="0" fontId="10" fillId="3" borderId="0" xfId="0" applyFont="1" applyFill="1" applyAlignment="1">
      <alignment horizontal="center" wrapText="1"/>
    </xf>
    <xf numFmtId="0" fontId="10" fillId="0" borderId="0" xfId="0" applyFont="1" applyBorder="1"/>
    <xf numFmtId="164" fontId="0" fillId="0" borderId="0" xfId="0" applyNumberFormat="1"/>
    <xf numFmtId="0" fontId="9" fillId="0" borderId="0" xfId="0" applyFont="1" applyAlignment="1">
      <alignment horizontal="center" wrapText="1"/>
    </xf>
    <xf numFmtId="165" fontId="6" fillId="0" borderId="28" xfId="1" applyFont="1" applyBorder="1" applyAlignment="1">
      <alignment horizontal="right" vertical="top"/>
    </xf>
    <xf numFmtId="0" fontId="6" fillId="0" borderId="0" xfId="3" applyFont="1" applyFill="1" applyBorder="1" applyAlignment="1">
      <alignment horizontal="right"/>
    </xf>
    <xf numFmtId="165" fontId="6" fillId="0" borderId="0" xfId="1" applyFont="1" applyBorder="1" applyAlignment="1">
      <alignment horizontal="right" vertical="top"/>
    </xf>
    <xf numFmtId="165" fontId="13" fillId="4" borderId="30" xfId="1" applyFont="1" applyFill="1" applyBorder="1" applyAlignment="1">
      <alignment horizontal="right" vertical="top"/>
    </xf>
    <xf numFmtId="0" fontId="10" fillId="2" borderId="36" xfId="0" applyFont="1" applyFill="1" applyBorder="1" applyAlignment="1">
      <alignment horizontal="center" wrapText="1"/>
    </xf>
    <xf numFmtId="165" fontId="6" fillId="0" borderId="0" xfId="1" applyFont="1" applyAlignment="1">
      <alignment horizontal="right" vertical="top"/>
    </xf>
    <xf numFmtId="165" fontId="6" fillId="0" borderId="3" xfId="1" applyFont="1" applyBorder="1" applyAlignment="1">
      <alignment horizontal="right" vertical="center" wrapText="1"/>
    </xf>
    <xf numFmtId="2" fontId="6" fillId="0" borderId="2" xfId="3" applyNumberFormat="1" applyFont="1" applyFill="1" applyBorder="1" applyAlignment="1">
      <alignment horizontal="right" vertical="center" wrapText="1"/>
    </xf>
    <xf numFmtId="2" fontId="6" fillId="0" borderId="3" xfId="3" applyNumberFormat="1" applyFont="1" applyFill="1" applyBorder="1" applyAlignment="1">
      <alignment horizontal="right" vertical="center" wrapText="1"/>
    </xf>
    <xf numFmtId="0" fontId="5" fillId="2" borderId="43" xfId="2" applyFill="1" applyBorder="1" applyAlignment="1">
      <alignment horizontal="center" vertical="center"/>
    </xf>
    <xf numFmtId="165" fontId="6" fillId="0" borderId="2" xfId="1" applyFont="1" applyBorder="1" applyAlignment="1">
      <alignment horizontal="right" vertical="center"/>
    </xf>
    <xf numFmtId="0" fontId="6" fillId="0" borderId="2" xfId="3" applyFont="1" applyFill="1" applyBorder="1"/>
    <xf numFmtId="0" fontId="6" fillId="0" borderId="44" xfId="3" applyFont="1" applyFill="1" applyBorder="1"/>
    <xf numFmtId="0" fontId="6" fillId="2" borderId="45" xfId="3" applyFont="1" applyFill="1" applyBorder="1"/>
    <xf numFmtId="0" fontId="6" fillId="2" borderId="46" xfId="3" applyFont="1" applyFill="1" applyBorder="1"/>
    <xf numFmtId="166" fontId="13" fillId="0" borderId="47" xfId="3" applyNumberFormat="1" applyFont="1" applyFill="1" applyBorder="1" applyAlignment="1">
      <alignment vertical="center"/>
    </xf>
    <xf numFmtId="0" fontId="0" fillId="0" borderId="0" xfId="0" applyBorder="1"/>
    <xf numFmtId="0" fontId="16" fillId="0" borderId="0" xfId="3" applyFont="1" applyFill="1" applyBorder="1" applyAlignment="1">
      <alignment horizontal="left"/>
    </xf>
    <xf numFmtId="0" fontId="0" fillId="0" borderId="9" xfId="0" applyBorder="1"/>
    <xf numFmtId="0" fontId="0" fillId="0" borderId="48" xfId="0" applyBorder="1"/>
    <xf numFmtId="0" fontId="0" fillId="0" borderId="0" xfId="0" applyAlignment="1">
      <alignment vertical="top"/>
    </xf>
    <xf numFmtId="0" fontId="14" fillId="0" borderId="0" xfId="0" applyFont="1" applyAlignment="1">
      <alignment horizontal="left"/>
    </xf>
    <xf numFmtId="0" fontId="18" fillId="5" borderId="28" xfId="5" applyFont="1" applyFill="1" applyBorder="1" applyAlignment="1">
      <alignment vertical="center" wrapText="1"/>
    </xf>
    <xf numFmtId="0" fontId="14" fillId="0" borderId="0" xfId="0" applyNumberFormat="1" applyFont="1" applyAlignment="1">
      <alignment horizontal="left" vertical="top"/>
    </xf>
    <xf numFmtId="0" fontId="19" fillId="0" borderId="0" xfId="0" applyFont="1" applyAlignment="1">
      <alignment vertical="center" wrapText="1"/>
    </xf>
    <xf numFmtId="0" fontId="19" fillId="0" borderId="0" xfId="0" applyFont="1" applyAlignment="1">
      <alignment horizontal="center" vertical="center"/>
    </xf>
    <xf numFmtId="167" fontId="19" fillId="0" borderId="0" xfId="1" applyNumberFormat="1" applyFont="1" applyAlignment="1">
      <alignment horizontal="center" vertical="center"/>
    </xf>
    <xf numFmtId="165" fontId="19" fillId="0" borderId="0" xfId="1" applyFont="1" applyAlignment="1">
      <alignment horizontal="center" vertical="center"/>
    </xf>
    <xf numFmtId="165" fontId="20" fillId="6" borderId="28" xfId="4" applyFont="1" applyFill="1" applyBorder="1" applyAlignment="1">
      <alignment vertical="center" wrapText="1"/>
    </xf>
    <xf numFmtId="0" fontId="14" fillId="0" borderId="0" xfId="0" applyFont="1" applyAlignment="1">
      <alignment vertical="top"/>
    </xf>
    <xf numFmtId="0" fontId="14" fillId="0" borderId="0" xfId="0" applyNumberFormat="1" applyFont="1" applyAlignment="1">
      <alignment horizontal="left"/>
    </xf>
    <xf numFmtId="0" fontId="14" fillId="0" borderId="0" xfId="0" applyFont="1"/>
    <xf numFmtId="0" fontId="19" fillId="0" borderId="0" xfId="0" applyFont="1" applyAlignment="1">
      <alignment vertical="center"/>
    </xf>
    <xf numFmtId="0" fontId="14" fillId="7" borderId="0" xfId="0" applyFont="1" applyFill="1" applyAlignment="1">
      <alignment vertical="top"/>
    </xf>
    <xf numFmtId="0" fontId="14" fillId="0" borderId="0" xfId="0" applyNumberFormat="1" applyFont="1" applyAlignment="1">
      <alignment horizontal="left" vertical="center"/>
    </xf>
    <xf numFmtId="0" fontId="14" fillId="0" borderId="0" xfId="0" applyFont="1" applyAlignment="1">
      <alignment vertical="center"/>
    </xf>
    <xf numFmtId="0" fontId="14" fillId="7" borderId="0" xfId="0" applyFont="1" applyFill="1"/>
    <xf numFmtId="1" fontId="14" fillId="0" borderId="0" xfId="0" applyNumberFormat="1" applyFont="1" applyAlignment="1">
      <alignment horizontal="left"/>
    </xf>
    <xf numFmtId="0" fontId="19" fillId="0" borderId="0" xfId="0" applyFont="1"/>
    <xf numFmtId="0" fontId="19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14" fillId="0" borderId="28" xfId="0" applyNumberFormat="1" applyFont="1" applyBorder="1" applyAlignment="1">
      <alignment horizontal="left" vertical="top"/>
    </xf>
    <xf numFmtId="0" fontId="19" fillId="0" borderId="28" xfId="0" applyFont="1" applyBorder="1" applyAlignment="1">
      <alignment vertical="center" wrapText="1"/>
    </xf>
    <xf numFmtId="0" fontId="19" fillId="0" borderId="28" xfId="0" applyFont="1" applyBorder="1" applyAlignment="1">
      <alignment horizontal="center" vertical="center"/>
    </xf>
    <xf numFmtId="167" fontId="19" fillId="0" borderId="28" xfId="1" applyNumberFormat="1" applyFont="1" applyBorder="1" applyAlignment="1">
      <alignment horizontal="center" vertical="center"/>
    </xf>
    <xf numFmtId="165" fontId="19" fillId="0" borderId="28" xfId="1" applyFont="1" applyBorder="1" applyAlignment="1">
      <alignment horizontal="center" vertical="center"/>
    </xf>
    <xf numFmtId="0" fontId="14" fillId="0" borderId="28" xfId="0" applyNumberFormat="1" applyFont="1" applyBorder="1" applyAlignment="1">
      <alignment horizontal="left"/>
    </xf>
    <xf numFmtId="0" fontId="19" fillId="0" borderId="28" xfId="0" applyFont="1" applyBorder="1" applyAlignment="1">
      <alignment vertical="center"/>
    </xf>
    <xf numFmtId="0" fontId="14" fillId="0" borderId="28" xfId="0" applyNumberFormat="1" applyFont="1" applyBorder="1" applyAlignment="1">
      <alignment horizontal="left" vertical="center"/>
    </xf>
    <xf numFmtId="165" fontId="21" fillId="0" borderId="0" xfId="0" applyNumberFormat="1" applyFont="1" applyAlignment="1">
      <alignment horizontal="center" vertical="center"/>
    </xf>
    <xf numFmtId="0" fontId="0" fillId="0" borderId="0" xfId="0" applyAlignment="1"/>
    <xf numFmtId="0" fontId="0" fillId="0" borderId="0" xfId="0" applyFont="1"/>
    <xf numFmtId="0" fontId="4" fillId="0" borderId="0" xfId="0" applyFont="1" applyFill="1" applyAlignment="1">
      <alignment horizontal="left" wrapText="1" indent="3"/>
    </xf>
    <xf numFmtId="0" fontId="4" fillId="0" borderId="0" xfId="0" applyFont="1" applyFill="1" applyAlignment="1">
      <alignment horizontal="left" indent="3"/>
    </xf>
    <xf numFmtId="0" fontId="5" fillId="2" borderId="43" xfId="2" applyFont="1" applyFill="1" applyBorder="1" applyAlignment="1">
      <alignment horizontal="center" vertical="center"/>
    </xf>
    <xf numFmtId="165" fontId="6" fillId="0" borderId="3" xfId="1" applyFont="1" applyFill="1" applyBorder="1" applyAlignment="1">
      <alignment horizontal="right" vertical="center" wrapText="1"/>
    </xf>
    <xf numFmtId="165" fontId="6" fillId="0" borderId="2" xfId="1" applyFont="1" applyFill="1" applyBorder="1" applyAlignment="1">
      <alignment horizontal="right" vertical="center"/>
    </xf>
    <xf numFmtId="0" fontId="0" fillId="0" borderId="0" xfId="0" applyBorder="1" applyAlignment="1">
      <alignment vertical="center"/>
    </xf>
    <xf numFmtId="0" fontId="6" fillId="0" borderId="2" xfId="3" applyFont="1" applyFill="1" applyBorder="1" applyAlignment="1"/>
    <xf numFmtId="0" fontId="6" fillId="0" borderId="0" xfId="3" applyFont="1" applyFill="1" applyBorder="1" applyAlignment="1"/>
    <xf numFmtId="0" fontId="6" fillId="0" borderId="44" xfId="3" applyFont="1" applyFill="1" applyBorder="1" applyAlignment="1"/>
    <xf numFmtId="0" fontId="6" fillId="0" borderId="49" xfId="3" applyFont="1" applyFill="1" applyBorder="1" applyAlignment="1"/>
    <xf numFmtId="0" fontId="6" fillId="0" borderId="50" xfId="3" applyFont="1" applyFill="1" applyBorder="1" applyAlignment="1"/>
    <xf numFmtId="0" fontId="6" fillId="2" borderId="45" xfId="3" applyFont="1" applyFill="1" applyBorder="1" applyAlignment="1"/>
    <xf numFmtId="0" fontId="6" fillId="2" borderId="46" xfId="3" applyFont="1" applyFill="1" applyBorder="1" applyAlignment="1"/>
    <xf numFmtId="0" fontId="10" fillId="3" borderId="0" xfId="0" applyFont="1" applyFill="1" applyBorder="1" applyAlignment="1">
      <alignment horizontal="center" wrapText="1"/>
    </xf>
    <xf numFmtId="0" fontId="10" fillId="0" borderId="0" xfId="0" applyFont="1" applyFill="1" applyBorder="1"/>
    <xf numFmtId="0" fontId="0" fillId="0" borderId="0" xfId="0" applyBorder="1" applyAlignment="1">
      <alignment wrapText="1"/>
    </xf>
    <xf numFmtId="0" fontId="5" fillId="2" borderId="1" xfId="2" applyFont="1" applyFill="1" applyBorder="1" applyAlignment="1">
      <alignment horizontal="center" vertical="center"/>
    </xf>
    <xf numFmtId="0" fontId="7" fillId="0" borderId="0" xfId="0" applyFont="1" applyBorder="1" applyAlignment="1"/>
    <xf numFmtId="0" fontId="0" fillId="0" borderId="0" xfId="0" applyBorder="1" applyAlignment="1"/>
    <xf numFmtId="0" fontId="0" fillId="0" borderId="0" xfId="0" applyBorder="1" applyAlignment="1">
      <alignment horizontal="left"/>
    </xf>
    <xf numFmtId="0" fontId="9" fillId="0" borderId="0" xfId="0" applyFont="1" applyAlignment="1"/>
    <xf numFmtId="0" fontId="6" fillId="0" borderId="2" xfId="3" applyFont="1" applyFill="1" applyBorder="1" applyAlignment="1">
      <alignment vertical="top"/>
    </xf>
    <xf numFmtId="165" fontId="6" fillId="0" borderId="3" xfId="1" applyFont="1" applyFill="1" applyBorder="1" applyAlignment="1">
      <alignment horizontal="right" vertical="top" wrapText="1"/>
    </xf>
    <xf numFmtId="165" fontId="6" fillId="0" borderId="2" xfId="1" applyFont="1" applyFill="1" applyBorder="1" applyAlignment="1">
      <alignment horizontal="right" vertical="top"/>
    </xf>
    <xf numFmtId="2" fontId="6" fillId="0" borderId="3" xfId="3" applyNumberFormat="1" applyFont="1" applyFill="1" applyBorder="1" applyAlignment="1">
      <alignment horizontal="right" vertical="top" wrapText="1"/>
    </xf>
    <xf numFmtId="0" fontId="0" fillId="0" borderId="0" xfId="0" applyBorder="1" applyAlignment="1">
      <alignment vertical="top"/>
    </xf>
    <xf numFmtId="0" fontId="0" fillId="0" borderId="0" xfId="0" applyAlignment="1">
      <alignment vertical="top" wrapText="1"/>
    </xf>
    <xf numFmtId="0" fontId="6" fillId="0" borderId="52" xfId="3" applyFont="1" applyFill="1" applyBorder="1" applyAlignment="1">
      <alignment vertical="center"/>
    </xf>
    <xf numFmtId="2" fontId="6" fillId="0" borderId="2" xfId="3" applyNumberFormat="1" applyFont="1" applyFill="1" applyBorder="1" applyAlignment="1">
      <alignment horizontal="right" wrapText="1"/>
    </xf>
    <xf numFmtId="2" fontId="6" fillId="0" borderId="4" xfId="3" applyNumberFormat="1" applyFont="1" applyFill="1" applyBorder="1" applyAlignment="1">
      <alignment wrapText="1"/>
    </xf>
    <xf numFmtId="0" fontId="6" fillId="0" borderId="52" xfId="3" applyFont="1" applyFill="1" applyBorder="1" applyAlignment="1">
      <alignment vertical="top"/>
    </xf>
    <xf numFmtId="0" fontId="6" fillId="0" borderId="0" xfId="3" applyFont="1" applyFill="1" applyBorder="1" applyAlignment="1">
      <alignment vertical="center"/>
    </xf>
    <xf numFmtId="2" fontId="6" fillId="0" borderId="52" xfId="3" applyNumberFormat="1" applyFont="1" applyFill="1" applyBorder="1" applyAlignment="1">
      <alignment vertical="top" wrapText="1"/>
    </xf>
    <xf numFmtId="0" fontId="6" fillId="0" borderId="54" xfId="3" applyFont="1" applyFill="1" applyBorder="1" applyAlignment="1">
      <alignment vertical="top"/>
    </xf>
    <xf numFmtId="0" fontId="0" fillId="0" borderId="58" xfId="0" applyBorder="1"/>
    <xf numFmtId="0" fontId="0" fillId="0" borderId="7" xfId="0" applyBorder="1"/>
    <xf numFmtId="0" fontId="0" fillId="0" borderId="59" xfId="0" applyBorder="1"/>
    <xf numFmtId="0" fontId="6" fillId="0" borderId="4" xfId="3" applyFont="1" applyFill="1" applyBorder="1" applyAlignment="1">
      <alignment horizontal="center"/>
    </xf>
    <xf numFmtId="0" fontId="6" fillId="0" borderId="53" xfId="3" applyFont="1" applyFill="1" applyBorder="1" applyAlignment="1">
      <alignment horizontal="center"/>
    </xf>
    <xf numFmtId="2" fontId="6" fillId="0" borderId="4" xfId="3" applyNumberFormat="1" applyFont="1" applyFill="1" applyBorder="1" applyAlignment="1">
      <alignment horizontal="center" vertical="top" wrapText="1"/>
    </xf>
    <xf numFmtId="2" fontId="6" fillId="0" borderId="53" xfId="3" applyNumberFormat="1" applyFont="1" applyFill="1" applyBorder="1" applyAlignment="1">
      <alignment horizontal="center" vertical="top" wrapText="1"/>
    </xf>
    <xf numFmtId="2" fontId="8" fillId="0" borderId="6" xfId="3" applyNumberFormat="1" applyFont="1" applyFill="1" applyBorder="1" applyAlignment="1">
      <alignment horizontal="left" vertical="top" wrapText="1"/>
    </xf>
    <xf numFmtId="2" fontId="8" fillId="0" borderId="7" xfId="3" applyNumberFormat="1" applyFont="1" applyFill="1" applyBorder="1" applyAlignment="1">
      <alignment horizontal="left" vertical="top" wrapText="1"/>
    </xf>
    <xf numFmtId="2" fontId="8" fillId="0" borderId="8" xfId="3" applyNumberFormat="1" applyFont="1" applyFill="1" applyBorder="1" applyAlignment="1">
      <alignment horizontal="left" vertical="top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0" fillId="0" borderId="9" xfId="0" applyBorder="1" applyAlignment="1">
      <alignment horizontal="center"/>
    </xf>
    <xf numFmtId="0" fontId="11" fillId="0" borderId="0" xfId="0" applyFont="1" applyAlignment="1">
      <alignment horizontal="left"/>
    </xf>
    <xf numFmtId="0" fontId="16" fillId="0" borderId="45" xfId="3" applyFont="1" applyFill="1" applyBorder="1" applyAlignment="1">
      <alignment horizontal="left"/>
    </xf>
    <xf numFmtId="0" fontId="16" fillId="0" borderId="51" xfId="3" applyFont="1" applyFill="1" applyBorder="1" applyAlignment="1">
      <alignment horizontal="left"/>
    </xf>
    <xf numFmtId="0" fontId="10" fillId="3" borderId="0" xfId="0" applyFont="1" applyFill="1" applyBorder="1" applyAlignment="1">
      <alignment horizontal="center" wrapText="1"/>
    </xf>
    <xf numFmtId="166" fontId="14" fillId="0" borderId="22" xfId="0" applyNumberFormat="1" applyFont="1" applyBorder="1" applyAlignment="1">
      <alignment horizontal="center" vertical="center" wrapText="1"/>
    </xf>
    <xf numFmtId="166" fontId="14" fillId="0" borderId="26" xfId="0" applyNumberFormat="1" applyFont="1" applyBorder="1" applyAlignment="1">
      <alignment horizontal="center" vertical="center" wrapText="1"/>
    </xf>
    <xf numFmtId="166" fontId="14" fillId="0" borderId="20" xfId="0" applyNumberFormat="1" applyFont="1" applyBorder="1" applyAlignment="1">
      <alignment horizontal="center" vertical="center" wrapText="1"/>
    </xf>
    <xf numFmtId="166" fontId="14" fillId="0" borderId="21" xfId="0" applyNumberFormat="1" applyFont="1" applyBorder="1" applyAlignment="1">
      <alignment horizontal="center" vertical="center" wrapText="1"/>
    </xf>
    <xf numFmtId="166" fontId="14" fillId="0" borderId="24" xfId="0" applyNumberFormat="1" applyFont="1" applyBorder="1" applyAlignment="1">
      <alignment horizontal="center" vertical="center" wrapText="1"/>
    </xf>
    <xf numFmtId="166" fontId="14" fillId="0" borderId="25" xfId="0" applyNumberFormat="1" applyFont="1" applyBorder="1" applyAlignment="1">
      <alignment horizontal="center" vertical="center" wrapText="1"/>
    </xf>
    <xf numFmtId="165" fontId="17" fillId="0" borderId="23" xfId="0" applyNumberFormat="1" applyFont="1" applyBorder="1" applyAlignment="1">
      <alignment horizontal="center" vertical="center" wrapText="1"/>
    </xf>
    <xf numFmtId="165" fontId="17" fillId="0" borderId="22" xfId="0" applyNumberFormat="1" applyFont="1" applyBorder="1" applyAlignment="1">
      <alignment horizontal="center" vertical="center" wrapText="1"/>
    </xf>
    <xf numFmtId="165" fontId="17" fillId="0" borderId="27" xfId="0" applyNumberFormat="1" applyFont="1" applyBorder="1" applyAlignment="1">
      <alignment horizontal="center" vertical="center" wrapText="1"/>
    </xf>
    <xf numFmtId="165" fontId="17" fillId="0" borderId="26" xfId="0" applyNumberFormat="1" applyFont="1" applyBorder="1" applyAlignment="1">
      <alignment horizontal="center" vertical="center" wrapText="1"/>
    </xf>
    <xf numFmtId="2" fontId="8" fillId="0" borderId="55" xfId="3" applyNumberFormat="1" applyFont="1" applyFill="1" applyBorder="1" applyAlignment="1">
      <alignment horizontal="left" vertical="top" wrapText="1"/>
    </xf>
    <xf numFmtId="2" fontId="8" fillId="0" borderId="56" xfId="3" applyNumberFormat="1" applyFont="1" applyFill="1" applyBorder="1" applyAlignment="1">
      <alignment horizontal="left" vertical="top" wrapText="1"/>
    </xf>
    <xf numFmtId="2" fontId="8" fillId="0" borderId="57" xfId="3" applyNumberFormat="1" applyFont="1" applyFill="1" applyBorder="1" applyAlignment="1">
      <alignment horizontal="left" vertical="top" wrapText="1"/>
    </xf>
    <xf numFmtId="0" fontId="16" fillId="0" borderId="34" xfId="3" applyFont="1" applyFill="1" applyBorder="1" applyAlignment="1">
      <alignment horizontal="left"/>
    </xf>
    <xf numFmtId="0" fontId="16" fillId="0" borderId="35" xfId="3" applyFont="1" applyFill="1" applyBorder="1" applyAlignment="1">
      <alignment horizontal="left"/>
    </xf>
    <xf numFmtId="0" fontId="14" fillId="0" borderId="0" xfId="0" applyFont="1" applyAlignment="1">
      <alignment horizontal="center" wrapText="1"/>
    </xf>
    <xf numFmtId="0" fontId="12" fillId="0" borderId="34" xfId="3" applyFont="1" applyFill="1" applyBorder="1" applyAlignment="1">
      <alignment horizontal="left"/>
    </xf>
    <xf numFmtId="0" fontId="12" fillId="0" borderId="35" xfId="3" applyFont="1" applyFill="1" applyBorder="1" applyAlignment="1">
      <alignment horizontal="left"/>
    </xf>
    <xf numFmtId="0" fontId="10" fillId="3" borderId="0" xfId="0" applyFont="1" applyFill="1" applyAlignment="1">
      <alignment horizontal="center" wrapText="1"/>
    </xf>
    <xf numFmtId="0" fontId="7" fillId="0" borderId="0" xfId="0" applyFont="1" applyAlignment="1">
      <alignment horizontal="center" vertical="center" wrapText="1"/>
    </xf>
    <xf numFmtId="0" fontId="6" fillId="0" borderId="28" xfId="3" applyFont="1" applyFill="1" applyBorder="1" applyAlignment="1">
      <alignment horizontal="right"/>
    </xf>
    <xf numFmtId="0" fontId="6" fillId="4" borderId="15" xfId="3" applyFont="1" applyFill="1" applyBorder="1" applyAlignment="1">
      <alignment vertical="center"/>
    </xf>
    <xf numFmtId="0" fontId="6" fillId="4" borderId="18" xfId="3" applyFont="1" applyFill="1" applyBorder="1" applyAlignment="1">
      <alignment vertical="center"/>
    </xf>
    <xf numFmtId="0" fontId="6" fillId="4" borderId="29" xfId="3" applyFont="1" applyFill="1" applyBorder="1" applyAlignment="1">
      <alignment vertical="center"/>
    </xf>
    <xf numFmtId="0" fontId="6" fillId="4" borderId="31" xfId="3" applyFont="1" applyFill="1" applyBorder="1" applyAlignment="1">
      <alignment vertical="center"/>
    </xf>
    <xf numFmtId="0" fontId="6" fillId="4" borderId="32" xfId="3" applyFont="1" applyFill="1" applyBorder="1" applyAlignment="1">
      <alignment vertical="center"/>
    </xf>
    <xf numFmtId="0" fontId="6" fillId="4" borderId="33" xfId="3" applyFont="1" applyFill="1" applyBorder="1" applyAlignment="1">
      <alignment vertical="center"/>
    </xf>
    <xf numFmtId="0" fontId="6" fillId="4" borderId="31" xfId="3" applyFont="1" applyFill="1" applyBorder="1" applyAlignment="1">
      <alignment horizontal="left" vertical="center"/>
    </xf>
    <xf numFmtId="0" fontId="6" fillId="4" borderId="32" xfId="3" applyFont="1" applyFill="1" applyBorder="1" applyAlignment="1">
      <alignment horizontal="left" vertical="center"/>
    </xf>
    <xf numFmtId="0" fontId="6" fillId="4" borderId="33" xfId="3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center" wrapText="1"/>
    </xf>
    <xf numFmtId="0" fontId="10" fillId="2" borderId="18" xfId="0" applyFont="1" applyFill="1" applyBorder="1" applyAlignment="1">
      <alignment horizontal="center" wrapText="1"/>
    </xf>
    <xf numFmtId="0" fontId="10" fillId="2" borderId="37" xfId="0" applyFont="1" applyFill="1" applyBorder="1" applyAlignment="1">
      <alignment horizontal="center" wrapText="1"/>
    </xf>
    <xf numFmtId="166" fontId="14" fillId="0" borderId="40" xfId="0" applyNumberFormat="1" applyFont="1" applyBorder="1" applyAlignment="1">
      <alignment horizontal="center" vertical="center" wrapText="1"/>
    </xf>
    <xf numFmtId="166" fontId="14" fillId="0" borderId="42" xfId="0" applyNumberFormat="1" applyFont="1" applyBorder="1" applyAlignment="1">
      <alignment horizontal="center" vertical="center" wrapText="1"/>
    </xf>
    <xf numFmtId="166" fontId="14" fillId="0" borderId="38" xfId="0" applyNumberFormat="1" applyFont="1" applyBorder="1" applyAlignment="1">
      <alignment horizontal="center" vertical="center" wrapText="1"/>
    </xf>
    <xf numFmtId="166" fontId="14" fillId="0" borderId="39" xfId="0" applyNumberFormat="1" applyFont="1" applyBorder="1" applyAlignment="1">
      <alignment horizontal="center" vertical="center" wrapText="1"/>
    </xf>
    <xf numFmtId="166" fontId="14" fillId="0" borderId="6" xfId="0" applyNumberFormat="1" applyFont="1" applyBorder="1" applyAlignment="1">
      <alignment horizontal="center" vertical="center" wrapText="1"/>
    </xf>
    <xf numFmtId="166" fontId="14" fillId="0" borderId="7" xfId="0" applyNumberFormat="1" applyFont="1" applyBorder="1" applyAlignment="1">
      <alignment horizontal="center" vertical="center" wrapText="1"/>
    </xf>
    <xf numFmtId="165" fontId="15" fillId="0" borderId="39" xfId="0" applyNumberFormat="1" applyFont="1" applyBorder="1" applyAlignment="1">
      <alignment horizontal="center" vertical="center" wrapText="1"/>
    </xf>
    <xf numFmtId="165" fontId="15" fillId="0" borderId="41" xfId="0" applyNumberFormat="1" applyFont="1" applyBorder="1" applyAlignment="1">
      <alignment horizontal="center" vertical="center" wrapText="1"/>
    </xf>
    <xf numFmtId="165" fontId="15" fillId="0" borderId="7" xfId="0" applyNumberFormat="1" applyFont="1" applyBorder="1" applyAlignment="1">
      <alignment horizontal="center" vertical="center" wrapText="1"/>
    </xf>
    <xf numFmtId="165" fontId="15" fillId="0" borderId="8" xfId="0" applyNumberFormat="1" applyFont="1" applyBorder="1" applyAlignment="1">
      <alignment horizontal="center" vertical="center" wrapText="1"/>
    </xf>
    <xf numFmtId="165" fontId="15" fillId="0" borderId="23" xfId="0" applyNumberFormat="1" applyFont="1" applyBorder="1" applyAlignment="1">
      <alignment horizontal="center" vertical="center" wrapText="1"/>
    </xf>
    <xf numFmtId="165" fontId="15" fillId="0" borderId="22" xfId="0" applyNumberFormat="1" applyFont="1" applyBorder="1" applyAlignment="1">
      <alignment horizontal="center" vertical="center" wrapText="1"/>
    </xf>
    <xf numFmtId="165" fontId="15" fillId="0" borderId="27" xfId="0" applyNumberFormat="1" applyFont="1" applyBorder="1" applyAlignment="1">
      <alignment horizontal="center" vertical="center" wrapText="1"/>
    </xf>
    <xf numFmtId="165" fontId="15" fillId="0" borderId="26" xfId="0" applyNumberFormat="1" applyFont="1" applyBorder="1" applyAlignment="1">
      <alignment horizontal="center" vertical="center" wrapText="1"/>
    </xf>
    <xf numFmtId="0" fontId="12" fillId="0" borderId="15" xfId="3" applyFont="1" applyFill="1" applyBorder="1" applyAlignment="1">
      <alignment horizontal="left"/>
    </xf>
    <xf numFmtId="0" fontId="12" fillId="0" borderId="16" xfId="3" applyFont="1" applyFill="1" applyBorder="1" applyAlignment="1">
      <alignment horizontal="left"/>
    </xf>
  </cellXfs>
  <cellStyles count="6">
    <cellStyle name="Calcul" xfId="3" builtinId="22"/>
    <cellStyle name="Milliers" xfId="1" builtinId="3"/>
    <cellStyle name="Milliers 2" xfId="4" xr:uid="{00000000-0005-0000-0000-000031000000}"/>
    <cellStyle name="Normal" xfId="0" builtinId="0"/>
    <cellStyle name="Normal 2" xfId="5" xr:uid="{00000000-0005-0000-0000-000032000000}"/>
    <cellStyle name="Sortie" xfId="2" builtinId="21"/>
  </cellStyles>
  <dxfs count="13">
    <dxf>
      <numFmt numFmtId="0" formatCode="General"/>
    </dxf>
    <dxf>
      <font>
        <b/>
        <i val="0"/>
        <strike val="0"/>
        <u val="none"/>
        <sz val="11"/>
        <color rgb="FFFF0000"/>
        <name val="Calibri"/>
        <scheme val="none"/>
      </font>
      <fill>
        <patternFill patternType="solid">
          <bgColor theme="0"/>
        </patternFill>
      </fill>
      <alignment vertical="center" wrapText="1"/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strike val="0"/>
        <u val="none"/>
        <sz val="12"/>
        <color rgb="FF000000"/>
        <name val="Calibri"/>
        <scheme val="none"/>
      </font>
      <alignment horizontal="center" vertical="center"/>
    </dxf>
    <dxf>
      <font>
        <strike val="0"/>
        <u val="none"/>
        <sz val="12"/>
        <color rgb="FF000000"/>
        <name val="Calibri"/>
        <scheme val="none"/>
      </font>
      <alignment horizontal="center" vertical="center"/>
    </dxf>
    <dxf>
      <font>
        <strike val="0"/>
        <u val="none"/>
        <sz val="12"/>
        <color rgb="FF000000"/>
        <name val="Calibri"/>
        <scheme val="none"/>
      </font>
    </dxf>
    <dxf>
      <font>
        <strike val="0"/>
        <u val="none"/>
        <sz val="12"/>
        <color rgb="FF000000"/>
        <name val="Calibri"/>
        <scheme val="none"/>
      </font>
    </dxf>
    <dxf>
      <font>
        <b/>
        <strike val="0"/>
        <u val="none"/>
        <sz val="12"/>
        <color rgb="FF000000"/>
        <name val="Calibri"/>
        <scheme val="none"/>
      </font>
      <numFmt numFmtId="1" formatCode="0"/>
      <alignment horizontal="left"/>
    </dxf>
    <dxf>
      <font>
        <strike val="0"/>
        <u val="none"/>
        <sz val="12"/>
        <color rgb="FF000000"/>
        <name val="Calibri"/>
        <scheme val="none"/>
      </font>
      <numFmt numFmtId="0" formatCode="General"/>
      <alignment horizontal="center" vertical="center"/>
    </dxf>
    <dxf>
      <font>
        <strike val="0"/>
        <u val="none"/>
        <sz val="12"/>
        <color rgb="FF000000"/>
        <name val="Calibri"/>
        <scheme val="none"/>
      </font>
      <alignment horizontal="center" vertical="center"/>
    </dxf>
    <dxf>
      <font>
        <strike val="0"/>
        <u val="none"/>
        <sz val="12"/>
        <color rgb="FF000000"/>
        <name val="Calibri"/>
        <scheme val="none"/>
      </font>
      <alignment horizontal="center" vertical="center"/>
    </dxf>
    <dxf>
      <font>
        <strike val="0"/>
        <u val="none"/>
        <sz val="12"/>
        <color rgb="FF000000"/>
        <name val="Calibri"/>
        <scheme val="none"/>
      </font>
    </dxf>
    <dxf>
      <font>
        <strike val="0"/>
        <u val="none"/>
        <sz val="12"/>
        <color rgb="FF000000"/>
        <name val="Calibri"/>
        <scheme val="none"/>
      </font>
    </dxf>
    <dxf>
      <font>
        <b/>
        <strike val="0"/>
        <u val="none"/>
        <sz val="12"/>
        <color rgb="FF000000"/>
        <name val="Calibri"/>
        <scheme val="none"/>
      </font>
      <numFmt numFmtId="1" formatCode="0"/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calcChain" Target="calcChain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styles" Target="styles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15</xdr:row>
      <xdr:rowOff>152399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847975" y="1638300"/>
          <a:ext cx="2447925" cy="137096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9525</xdr:rowOff>
    </xdr:from>
    <xdr:to>
      <xdr:col>4</xdr:col>
      <xdr:colOff>1219200</xdr:colOff>
      <xdr:row>7</xdr:row>
      <xdr:rowOff>66675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208780" y="115252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2019/038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100335005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7534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6" name="Rectangle à coins arrondis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8" name="ZoneText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2019/038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100335005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95248</xdr:rowOff>
    </xdr:from>
    <xdr:to>
      <xdr:col>5</xdr:col>
      <xdr:colOff>1447800</xdr:colOff>
      <xdr:row>39</xdr:row>
      <xdr:rowOff>361949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/>
      </xdr:nvSpPr>
      <xdr:spPr>
        <a:xfrm>
          <a:off x="76200" y="8371840"/>
          <a:ext cx="5676900" cy="74295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Quatre mille cinq cent quatorze </a:t>
          </a:r>
          <a:r>
            <a:rPr lang="fr-FR" sz="1100" b="1"/>
            <a:t>DIRHAMS ET 40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772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772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772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772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772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772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772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3" name="Picture 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772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2019/038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/>
      </xdr:nvSpPr>
      <xdr:spPr>
        <a:xfrm>
          <a:off x="3752850" y="7333615"/>
          <a:ext cx="2019300" cy="30543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9" name="Rectangle à coins arrondis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/>
      </xdr:nvSpPr>
      <xdr:spPr>
        <a:xfrm>
          <a:off x="3019425" y="7324725"/>
          <a:ext cx="704850" cy="3143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/>
      </xdr:nvSpPr>
      <xdr:spPr>
        <a:xfrm>
          <a:off x="142875" y="7334250"/>
          <a:ext cx="2838450" cy="3143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7817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2019/039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100334559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5915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5058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4963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963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296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2019/039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100334559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95248</xdr:rowOff>
    </xdr:from>
    <xdr:to>
      <xdr:col>5</xdr:col>
      <xdr:colOff>1447800</xdr:colOff>
      <xdr:row>39</xdr:row>
      <xdr:rowOff>361949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SpPr/>
      </xdr:nvSpPr>
      <xdr:spPr>
        <a:xfrm>
          <a:off x="76200" y="8448040"/>
          <a:ext cx="5676900" cy="58166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Sept mille cent quatre vingt deux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534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534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534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534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534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534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534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534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2019/039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SpPr/>
      </xdr:nvSpPr>
      <xdr:spPr>
        <a:xfrm>
          <a:off x="3752850" y="76003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SpPr/>
      </xdr:nvSpPr>
      <xdr:spPr>
        <a:xfrm>
          <a:off x="3019425" y="75914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SpPr/>
      </xdr:nvSpPr>
      <xdr:spPr>
        <a:xfrm>
          <a:off x="142875" y="76009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40</xdr:row>
      <xdr:rowOff>0</xdr:rowOff>
    </xdr:from>
    <xdr:to>
      <xdr:col>5</xdr:col>
      <xdr:colOff>909507</xdr:colOff>
      <xdr:row>40</xdr:row>
      <xdr:rowOff>4191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04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96302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04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04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0400-000020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0400-000021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18/09/2019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04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2019/040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04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04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100335094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04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04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04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04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38098</xdr:rowOff>
    </xdr:from>
    <xdr:to>
      <xdr:col>5</xdr:col>
      <xdr:colOff>1447800</xdr:colOff>
      <xdr:row>39</xdr:row>
      <xdr:rowOff>257175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0400-000029000000}"/>
            </a:ext>
          </a:extLst>
        </xdr:cNvPr>
        <xdr:cNvSpPr/>
      </xdr:nvSpPr>
      <xdr:spPr>
        <a:xfrm>
          <a:off x="76200" y="8047990"/>
          <a:ext cx="5676900" cy="69596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Cinquante neuf mille neuf cent quatre vingt seize </a:t>
          </a:r>
          <a:r>
            <a:rPr lang="fr-FR" sz="1100" b="1"/>
            <a:t>DIRHAMS ET 40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04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105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04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0105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04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0105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04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105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04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105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04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0105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04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0105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04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105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04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04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2019/040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04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0400-000035000000}"/>
            </a:ext>
          </a:extLst>
        </xdr:cNvPr>
        <xdr:cNvSpPr/>
      </xdr:nvSpPr>
      <xdr:spPr>
        <a:xfrm>
          <a:off x="3752850" y="72574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0400-000036000000}"/>
            </a:ext>
          </a:extLst>
        </xdr:cNvPr>
        <xdr:cNvSpPr/>
      </xdr:nvSpPr>
      <xdr:spPr>
        <a:xfrm>
          <a:off x="3019425" y="72485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0400-000037000000}"/>
            </a:ext>
          </a:extLst>
        </xdr:cNvPr>
        <xdr:cNvSpPr/>
      </xdr:nvSpPr>
      <xdr:spPr>
        <a:xfrm>
          <a:off x="142875" y="72580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4007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15</xdr:row>
      <xdr:rowOff>152399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2847975" y="1638300"/>
          <a:ext cx="2447925" cy="137096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18/09/2019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9525</xdr:rowOff>
    </xdr:from>
    <xdr:to>
      <xdr:col>4</xdr:col>
      <xdr:colOff>1219200</xdr:colOff>
      <xdr:row>7</xdr:row>
      <xdr:rowOff>66675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>
          <a:off x="4208780" y="115252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2019/040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100335094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5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2105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1248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1153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1153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7817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18/09/2019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2019/041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100334558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5915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5058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4963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963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677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18/09/2019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2019/041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100334558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7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95248</xdr:rowOff>
    </xdr:from>
    <xdr:to>
      <xdr:col>5</xdr:col>
      <xdr:colOff>1447800</xdr:colOff>
      <xdr:row>39</xdr:row>
      <xdr:rowOff>361949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SpPr/>
      </xdr:nvSpPr>
      <xdr:spPr>
        <a:xfrm>
          <a:off x="76200" y="8486140"/>
          <a:ext cx="5676900" cy="58166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Vingt trois mille cent quatre vingt sept </a:t>
          </a:r>
          <a:r>
            <a:rPr lang="fr-FR" sz="1100" b="1"/>
            <a:t>DIRHAMS ET 60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915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915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915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915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915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915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915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915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7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7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2019/041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7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700-00001A000000}"/>
            </a:ext>
          </a:extLst>
        </xdr:cNvPr>
        <xdr:cNvSpPr/>
      </xdr:nvSpPr>
      <xdr:spPr>
        <a:xfrm>
          <a:off x="3752850" y="76384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700-00001B000000}"/>
            </a:ext>
          </a:extLst>
        </xdr:cNvPr>
        <xdr:cNvSpPr/>
      </xdr:nvSpPr>
      <xdr:spPr>
        <a:xfrm>
          <a:off x="3019425" y="76295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700-00001C000000}"/>
            </a:ext>
          </a:extLst>
        </xdr:cNvPr>
        <xdr:cNvSpPr/>
      </xdr:nvSpPr>
      <xdr:spPr>
        <a:xfrm>
          <a:off x="142875" y="76390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37</xdr:row>
      <xdr:rowOff>0</xdr:rowOff>
    </xdr:from>
    <xdr:to>
      <xdr:col>5</xdr:col>
      <xdr:colOff>909507</xdr:colOff>
      <xdr:row>37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903922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23/05/2019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2019/024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100334557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36</xdr:row>
      <xdr:rowOff>19050</xdr:rowOff>
    </xdr:from>
    <xdr:to>
      <xdr:col>5</xdr:col>
      <xdr:colOff>1447800</xdr:colOff>
      <xdr:row>38</xdr:row>
      <xdr:rowOff>76199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76200" y="8582025"/>
          <a:ext cx="5676900" cy="723265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Quarrante six mille deux cent cinquante deux </a:t>
          </a:r>
          <a:r>
            <a:rPr lang="fr-FR" sz="1100" b="1"/>
            <a:t>DIRHAMS ET 80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36</xdr:row>
      <xdr:rowOff>0</xdr:rowOff>
    </xdr:from>
    <xdr:to>
      <xdr:col>5</xdr:col>
      <xdr:colOff>909616</xdr:colOff>
      <xdr:row>36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6297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36</xdr:row>
      <xdr:rowOff>0</xdr:rowOff>
    </xdr:from>
    <xdr:to>
      <xdr:col>5</xdr:col>
      <xdr:colOff>896324</xdr:colOff>
      <xdr:row>36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56297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36</xdr:row>
      <xdr:rowOff>0</xdr:rowOff>
    </xdr:from>
    <xdr:to>
      <xdr:col>5</xdr:col>
      <xdr:colOff>918422</xdr:colOff>
      <xdr:row>36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56297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36</xdr:row>
      <xdr:rowOff>0</xdr:rowOff>
    </xdr:from>
    <xdr:to>
      <xdr:col>5</xdr:col>
      <xdr:colOff>907163</xdr:colOff>
      <xdr:row>36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6297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36</xdr:row>
      <xdr:rowOff>0</xdr:rowOff>
    </xdr:from>
    <xdr:to>
      <xdr:col>5</xdr:col>
      <xdr:colOff>909616</xdr:colOff>
      <xdr:row>36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6297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36</xdr:row>
      <xdr:rowOff>0</xdr:rowOff>
    </xdr:from>
    <xdr:to>
      <xdr:col>5</xdr:col>
      <xdr:colOff>896324</xdr:colOff>
      <xdr:row>36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56297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36</xdr:row>
      <xdr:rowOff>0</xdr:rowOff>
    </xdr:from>
    <xdr:to>
      <xdr:col>5</xdr:col>
      <xdr:colOff>918422</xdr:colOff>
      <xdr:row>36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56297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36</xdr:row>
      <xdr:rowOff>0</xdr:rowOff>
    </xdr:from>
    <xdr:to>
      <xdr:col>5</xdr:col>
      <xdr:colOff>907163</xdr:colOff>
      <xdr:row>36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6297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2019/024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32</xdr:row>
      <xdr:rowOff>28574</xdr:rowOff>
    </xdr:from>
    <xdr:to>
      <xdr:col>5</xdr:col>
      <xdr:colOff>1466850</xdr:colOff>
      <xdr:row>32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/>
      </xdr:nvSpPr>
      <xdr:spPr>
        <a:xfrm>
          <a:off x="3752850" y="780986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32</xdr:row>
      <xdr:rowOff>19050</xdr:rowOff>
    </xdr:from>
    <xdr:to>
      <xdr:col>3</xdr:col>
      <xdr:colOff>733425</xdr:colOff>
      <xdr:row>32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SpPr/>
      </xdr:nvSpPr>
      <xdr:spPr>
        <a:xfrm>
          <a:off x="3019425" y="780097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32</xdr:row>
      <xdr:rowOff>28575</xdr:rowOff>
    </xdr:from>
    <xdr:to>
      <xdr:col>2</xdr:col>
      <xdr:colOff>2143125</xdr:colOff>
      <xdr:row>32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800-00001C000000}"/>
            </a:ext>
          </a:extLst>
        </xdr:cNvPr>
        <xdr:cNvSpPr/>
      </xdr:nvSpPr>
      <xdr:spPr>
        <a:xfrm>
          <a:off x="142875" y="781050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8294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15</xdr:row>
      <xdr:rowOff>152399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>
          <a:off x="2847975" y="1638300"/>
          <a:ext cx="2447925" cy="137096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23/05/2019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9525</xdr:rowOff>
    </xdr:from>
    <xdr:to>
      <xdr:col>4</xdr:col>
      <xdr:colOff>1219200</xdr:colOff>
      <xdr:row>7</xdr:row>
      <xdr:rowOff>66675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 txBox="1"/>
      </xdr:nvSpPr>
      <xdr:spPr>
        <a:xfrm>
          <a:off x="4208780" y="115252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2019/024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100334557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391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5534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5439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543925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772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2019/037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100334560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SpPr/>
      </xdr:nvSpPr>
      <xdr:spPr>
        <a:xfrm>
          <a:off x="76200" y="82194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Vingt cinq mille six cent cinquante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2019/037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/>
      </xdr:nvSpPr>
      <xdr:spPr>
        <a:xfrm>
          <a:off x="3752850" y="74479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A00-00001B000000}"/>
            </a:ext>
          </a:extLst>
        </xdr:cNvPr>
        <xdr:cNvSpPr/>
      </xdr:nvSpPr>
      <xdr:spPr>
        <a:xfrm>
          <a:off x="3019425" y="74390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A00-00001C000000}"/>
            </a:ext>
          </a:extLst>
        </xdr:cNvPr>
        <xdr:cNvSpPr/>
      </xdr:nvSpPr>
      <xdr:spPr>
        <a:xfrm>
          <a:off x="142875" y="74485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2019/037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100334560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7915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C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2019/035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100335093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76200" y="83337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Quatre vingt treize  mille neuf cent quatre vingt seize </a:t>
          </a:r>
          <a:r>
            <a:rPr lang="fr-FR" sz="1100" b="1"/>
            <a:t>DIRHAMS ET 24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153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153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153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153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153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153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153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153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C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C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2019/035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C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C00-00001A000000}"/>
            </a:ext>
          </a:extLst>
        </xdr:cNvPr>
        <xdr:cNvSpPr/>
      </xdr:nvSpPr>
      <xdr:spPr>
        <a:xfrm>
          <a:off x="3752850" y="75622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C00-00001B000000}"/>
            </a:ext>
          </a:extLst>
        </xdr:cNvPr>
        <xdr:cNvSpPr/>
      </xdr:nvSpPr>
      <xdr:spPr>
        <a:xfrm>
          <a:off x="3019425" y="75533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C00-00001C000000}"/>
            </a:ext>
          </a:extLst>
        </xdr:cNvPr>
        <xdr:cNvSpPr/>
      </xdr:nvSpPr>
      <xdr:spPr>
        <a:xfrm>
          <a:off x="142875" y="75628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91514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D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2019/035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100335093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D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D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D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72490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63917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62965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2965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2019/036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100335095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E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E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E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E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E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0E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772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0F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0F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0F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0F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17/09/2019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0F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2019/036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0F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0F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100335095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0F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0F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0F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0F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0F00-00000E000000}"/>
            </a:ext>
          </a:extLst>
        </xdr:cNvPr>
        <xdr:cNvSpPr/>
      </xdr:nvSpPr>
      <xdr:spPr>
        <a:xfrm>
          <a:off x="76200" y="82194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Quatre vingt trois mille cinq cent seize </a:t>
          </a:r>
          <a:r>
            <a:rPr lang="fr-FR" sz="1100" b="1"/>
            <a:t>DIRHAMS ET 40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0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0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0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0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0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0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0F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0F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0F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0F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2019/036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0F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0F00-00001A000000}"/>
            </a:ext>
          </a:extLst>
        </xdr:cNvPr>
        <xdr:cNvSpPr/>
      </xdr:nvSpPr>
      <xdr:spPr>
        <a:xfrm>
          <a:off x="3752850" y="74479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0F00-00001B000000}"/>
            </a:ext>
          </a:extLst>
        </xdr:cNvPr>
        <xdr:cNvSpPr/>
      </xdr:nvSpPr>
      <xdr:spPr>
        <a:xfrm>
          <a:off x="3019425" y="74390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0F00-00001C000000}"/>
            </a:ext>
          </a:extLst>
        </xdr:cNvPr>
        <xdr:cNvSpPr/>
      </xdr:nvSpPr>
      <xdr:spPr>
        <a:xfrm>
          <a:off x="142875" y="74485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772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0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0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2019/042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0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0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100335587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0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0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0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0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000-00000E000000}"/>
            </a:ext>
          </a:extLst>
        </xdr:cNvPr>
        <xdr:cNvSpPr/>
      </xdr:nvSpPr>
      <xdr:spPr>
        <a:xfrm>
          <a:off x="76200" y="82194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Vingt six mille neuf cent un </a:t>
          </a:r>
          <a:r>
            <a:rPr lang="fr-FR" sz="1100" b="1"/>
            <a:t>DIRHAMS ET 72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0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0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2019/042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0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000-00001A000000}"/>
            </a:ext>
          </a:extLst>
        </xdr:cNvPr>
        <xdr:cNvSpPr/>
      </xdr:nvSpPr>
      <xdr:spPr>
        <a:xfrm>
          <a:off x="3752850" y="74479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000-00001B000000}"/>
            </a:ext>
          </a:extLst>
        </xdr:cNvPr>
        <xdr:cNvSpPr/>
      </xdr:nvSpPr>
      <xdr:spPr>
        <a:xfrm>
          <a:off x="3019425" y="74390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000-00001C000000}"/>
            </a:ext>
          </a:extLst>
        </xdr:cNvPr>
        <xdr:cNvSpPr/>
      </xdr:nvSpPr>
      <xdr:spPr>
        <a:xfrm>
          <a:off x="142875" y="74485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1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1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1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1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1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2019/042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1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1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100335587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1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1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1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1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1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11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2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2019/043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100335588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2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2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2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2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2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12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772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2019/043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3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3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3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3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3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300-00000E000000}"/>
            </a:ext>
          </a:extLst>
        </xdr:cNvPr>
        <xdr:cNvSpPr/>
      </xdr:nvSpPr>
      <xdr:spPr>
        <a:xfrm>
          <a:off x="76200" y="82194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Vingt-un mille neuf cent cinquate six </a:t>
          </a:r>
          <a:r>
            <a:rPr lang="fr-FR" sz="1100" b="1"/>
            <a:t>DIRHAMS ET 40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3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3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2019/043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3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300-00001A000000}"/>
            </a:ext>
          </a:extLst>
        </xdr:cNvPr>
        <xdr:cNvSpPr/>
      </xdr:nvSpPr>
      <xdr:spPr>
        <a:xfrm>
          <a:off x="3752850" y="74479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300-00001B000000}"/>
            </a:ext>
          </a:extLst>
        </xdr:cNvPr>
        <xdr:cNvSpPr/>
      </xdr:nvSpPr>
      <xdr:spPr>
        <a:xfrm>
          <a:off x="3019425" y="74390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300-00001C000000}"/>
            </a:ext>
          </a:extLst>
        </xdr:cNvPr>
        <xdr:cNvSpPr/>
      </xdr:nvSpPr>
      <xdr:spPr>
        <a:xfrm>
          <a:off x="142875" y="74485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772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4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4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2019/044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100335589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4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4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4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4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400-00000E000000}"/>
            </a:ext>
          </a:extLst>
        </xdr:cNvPr>
        <xdr:cNvSpPr/>
      </xdr:nvSpPr>
      <xdr:spPr>
        <a:xfrm>
          <a:off x="76200" y="82194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Trente huit mille huit cent quarante quatre </a:t>
          </a:r>
          <a:r>
            <a:rPr lang="fr-FR" sz="1100" b="1"/>
            <a:t>DIRHAMS ET 36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4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4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4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4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4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2019/044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4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400-00001A000000}"/>
            </a:ext>
          </a:extLst>
        </xdr:cNvPr>
        <xdr:cNvSpPr/>
      </xdr:nvSpPr>
      <xdr:spPr>
        <a:xfrm>
          <a:off x="3752850" y="74479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400-00001B000000}"/>
            </a:ext>
          </a:extLst>
        </xdr:cNvPr>
        <xdr:cNvSpPr/>
      </xdr:nvSpPr>
      <xdr:spPr>
        <a:xfrm>
          <a:off x="3019425" y="74390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400-00001C000000}"/>
            </a:ext>
          </a:extLst>
        </xdr:cNvPr>
        <xdr:cNvSpPr/>
      </xdr:nvSpPr>
      <xdr:spPr>
        <a:xfrm>
          <a:off x="142875" y="74485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5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5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5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5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5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5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2019/044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5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5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100335589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5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5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5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5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5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15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5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5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5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5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772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6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2019/045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6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100335586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6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6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6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6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600-00000E000000}"/>
            </a:ext>
          </a:extLst>
        </xdr:cNvPr>
        <xdr:cNvSpPr/>
      </xdr:nvSpPr>
      <xdr:spPr>
        <a:xfrm>
          <a:off x="76200" y="8219440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Quinze mille cent quatre vingt quatre </a:t>
          </a:r>
          <a:r>
            <a:rPr lang="fr-FR" sz="1100" b="1"/>
            <a:t>DIRHAMS ET 80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6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6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010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010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6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010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6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6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2019/045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6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600-00001A000000}"/>
            </a:ext>
          </a:extLst>
        </xdr:cNvPr>
        <xdr:cNvSpPr/>
      </xdr:nvSpPr>
      <xdr:spPr>
        <a:xfrm>
          <a:off x="3752850" y="7447915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600-00001B000000}"/>
            </a:ext>
          </a:extLst>
        </xdr:cNvPr>
        <xdr:cNvSpPr/>
      </xdr:nvSpPr>
      <xdr:spPr>
        <a:xfrm>
          <a:off x="3019425" y="74390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600-00001C000000}"/>
            </a:ext>
          </a:extLst>
        </xdr:cNvPr>
        <xdr:cNvSpPr/>
      </xdr:nvSpPr>
      <xdr:spPr>
        <a:xfrm>
          <a:off x="142875" y="74485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912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7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7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7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2019/045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7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7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100335586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7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7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7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7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7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17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010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153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058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058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915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8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8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12</xdr:row>
      <xdr:rowOff>171449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800-000005000000}"/>
            </a:ext>
          </a:extLst>
        </xdr:cNvPr>
        <xdr:cNvSpPr/>
      </xdr:nvSpPr>
      <xdr:spPr>
        <a:xfrm>
          <a:off x="142240" y="1285875"/>
          <a:ext cx="2734310" cy="118046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8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8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2019/046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8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8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100335554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8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8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8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8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19049</xdr:rowOff>
    </xdr:from>
    <xdr:to>
      <xdr:col>5</xdr:col>
      <xdr:colOff>1447800</xdr:colOff>
      <xdr:row>40</xdr:row>
      <xdr:rowOff>38099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800-00000E000000}"/>
            </a:ext>
          </a:extLst>
        </xdr:cNvPr>
        <xdr:cNvSpPr/>
      </xdr:nvSpPr>
      <xdr:spPr>
        <a:xfrm>
          <a:off x="76200" y="8133715"/>
          <a:ext cx="5676900" cy="6858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Cinquate trois mille neuf cent soixante seize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8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153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153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8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153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153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8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8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8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2019/046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8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endParaRPr lang="fr-FR" sz="2400" b="1" baseline="0"/>
        </a:p>
        <a:p>
          <a:pPr algn="ctr"/>
          <a:r>
            <a:rPr lang="fr-FR" sz="1400" b="1" baseline="0"/>
            <a:t>ICE: 001531179000052</a:t>
          </a:r>
          <a:endParaRPr lang="fr-FR" sz="1400" b="1"/>
        </a:p>
      </xdr:txBody>
    </xdr:sp>
    <xdr:clientData/>
  </xdr:twoCellAnchor>
  <xdr:twoCellAnchor>
    <xdr:from>
      <xdr:col>4</xdr:col>
      <xdr:colOff>19050</xdr:colOff>
      <xdr:row>34</xdr:row>
      <xdr:rowOff>28574</xdr:rowOff>
    </xdr:from>
    <xdr:to>
      <xdr:col>5</xdr:col>
      <xdr:colOff>1466850</xdr:colOff>
      <xdr:row>34</xdr:row>
      <xdr:rowOff>333375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800-00001A000000}"/>
            </a:ext>
          </a:extLst>
        </xdr:cNvPr>
        <xdr:cNvSpPr/>
      </xdr:nvSpPr>
      <xdr:spPr>
        <a:xfrm>
          <a:off x="3752850" y="7362190"/>
          <a:ext cx="2019300" cy="17208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800-00001B000000}"/>
            </a:ext>
          </a:extLst>
        </xdr:cNvPr>
        <xdr:cNvSpPr/>
      </xdr:nvSpPr>
      <xdr:spPr>
        <a:xfrm>
          <a:off x="3019425" y="73533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800-00001C000000}"/>
            </a:ext>
          </a:extLst>
        </xdr:cNvPr>
        <xdr:cNvSpPr/>
      </xdr:nvSpPr>
      <xdr:spPr>
        <a:xfrm>
          <a:off x="142875" y="73628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6008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114300</xdr:rowOff>
    </xdr:from>
    <xdr:to>
      <xdr:col>4</xdr:col>
      <xdr:colOff>1314451</xdr:colOff>
      <xdr:row>16</xdr:row>
      <xdr:rowOff>28575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SpPr/>
      </xdr:nvSpPr>
      <xdr:spPr>
        <a:xfrm>
          <a:off x="2847975" y="1638300"/>
          <a:ext cx="2447925" cy="14382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200" b="1" baseline="0"/>
            <a:t>ICE 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30/09/2019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2019/046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9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100335554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105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248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153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15325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915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A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A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A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A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01/10/2019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A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A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600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A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A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A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A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A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19048</xdr:rowOff>
    </xdr:from>
    <xdr:to>
      <xdr:col>5</xdr:col>
      <xdr:colOff>1447800</xdr:colOff>
      <xdr:row>40</xdr:row>
      <xdr:rowOff>114299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A00-00000E000000}"/>
            </a:ext>
          </a:extLst>
        </xdr:cNvPr>
        <xdr:cNvSpPr/>
      </xdr:nvSpPr>
      <xdr:spPr>
        <a:xfrm>
          <a:off x="76200" y="81337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A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153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153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A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153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153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A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153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A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A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A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1800" b="1" baseline="0"/>
            <a:t>MARJANE HOLDING S.A.</a:t>
          </a:r>
        </a:p>
        <a:p>
          <a:pPr algn="ctr"/>
          <a:r>
            <a:rPr lang="fr-FR" sz="1400" b="1" baseline="0"/>
            <a:t>SIDI MAAROUF BOUSKOURA</a:t>
          </a:r>
        </a:p>
        <a:p>
          <a:pPr algn="ctr"/>
          <a:r>
            <a:rPr lang="fr-FR" sz="1400" b="1" baseline="0"/>
            <a:t>MAROC</a:t>
          </a:r>
        </a:p>
        <a:p>
          <a:pPr algn="ctr"/>
          <a:r>
            <a:rPr lang="fr-FR" sz="1400" b="1" baseline="0"/>
            <a:t>ICE: 001531173000020</a:t>
          </a:r>
        </a:p>
      </xdr:txBody>
    </xdr:sp>
    <xdr:clientData/>
  </xdr:twoCellAnchor>
  <xdr:twoCellAnchor>
    <xdr:from>
      <xdr:col>4</xdr:col>
      <xdr:colOff>19049</xdr:colOff>
      <xdr:row>34</xdr:row>
      <xdr:rowOff>28574</xdr:rowOff>
    </xdr:from>
    <xdr:to>
      <xdr:col>5</xdr:col>
      <xdr:colOff>1495424</xdr:colOff>
      <xdr:row>35</xdr:row>
      <xdr:rowOff>28575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A00-00001A000000}"/>
            </a:ext>
          </a:extLst>
        </xdr:cNvPr>
        <xdr:cNvSpPr/>
      </xdr:nvSpPr>
      <xdr:spPr>
        <a:xfrm>
          <a:off x="3752215" y="73621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A00-00001B000000}"/>
            </a:ext>
          </a:extLst>
        </xdr:cNvPr>
        <xdr:cNvSpPr/>
      </xdr:nvSpPr>
      <xdr:spPr>
        <a:xfrm>
          <a:off x="3019425" y="73533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A00-00001C000000}"/>
            </a:ext>
          </a:extLst>
        </xdr:cNvPr>
        <xdr:cNvSpPr/>
      </xdr:nvSpPr>
      <xdr:spPr>
        <a:xfrm>
          <a:off x="142875" y="73628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43</xdr:row>
      <xdr:rowOff>161924</xdr:rowOff>
    </xdr:from>
    <xdr:to>
      <xdr:col>4</xdr:col>
      <xdr:colOff>909389</xdr:colOff>
      <xdr:row>43</xdr:row>
      <xdr:rowOff>166115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6008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1">
          <a:extLst>
            <a:ext uri="{FF2B5EF4-FFF2-40B4-BE49-F238E27FC236}">
              <a16:creationId xmlns:a16="http://schemas.microsoft.com/office/drawing/2014/main" id="{00000000-0008-0000-1B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B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B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1B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01/10/2019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1B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B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600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B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2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8">
          <a:extLst>
            <a:ext uri="{FF2B5EF4-FFF2-40B4-BE49-F238E27FC236}">
              <a16:creationId xmlns:a16="http://schemas.microsoft.com/office/drawing/2014/main" id="{00000000-0008-0000-1B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1B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1B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1B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2">
          <a:extLst>
            <a:ext uri="{FF2B5EF4-FFF2-40B4-BE49-F238E27FC236}">
              <a16:creationId xmlns:a16="http://schemas.microsoft.com/office/drawing/2014/main" id="{00000000-0008-0000-1B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3">
          <a:extLst>
            <a:ext uri="{FF2B5EF4-FFF2-40B4-BE49-F238E27FC236}">
              <a16:creationId xmlns:a16="http://schemas.microsoft.com/office/drawing/2014/main" id="{00000000-0008-0000-1B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34</xdr:row>
      <xdr:rowOff>123825</xdr:rowOff>
    </xdr:from>
    <xdr:to>
      <xdr:col>4</xdr:col>
      <xdr:colOff>909278</xdr:colOff>
      <xdr:row>34</xdr:row>
      <xdr:rowOff>126322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1B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105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34</xdr:row>
      <xdr:rowOff>38100</xdr:rowOff>
    </xdr:from>
    <xdr:to>
      <xdr:col>4</xdr:col>
      <xdr:colOff>895519</xdr:colOff>
      <xdr:row>34</xdr:row>
      <xdr:rowOff>39454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1B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3248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34</xdr:row>
      <xdr:rowOff>28575</xdr:rowOff>
    </xdr:from>
    <xdr:to>
      <xdr:col>4</xdr:col>
      <xdr:colOff>917998</xdr:colOff>
      <xdr:row>34</xdr:row>
      <xdr:rowOff>28745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1B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3153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34</xdr:row>
      <xdr:rowOff>28575</xdr:rowOff>
    </xdr:from>
    <xdr:to>
      <xdr:col>4</xdr:col>
      <xdr:colOff>906782</xdr:colOff>
      <xdr:row>34</xdr:row>
      <xdr:rowOff>30099</xdr:rowOff>
    </xdr:to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1B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15325"/>
          <a:ext cx="1905" cy="1270"/>
        </a:xfrm>
        <a:prstGeom prst="rect">
          <a:avLst/>
        </a:prstGeom>
        <a:noFill/>
      </xdr:spPr>
    </xdr:pic>
    <xdr:clientData/>
  </xdr:twoCellAnchor>
  <xdr:twoCellAnchor editAs="oneCell">
    <xdr:from>
      <xdr:col>2</xdr:col>
      <xdr:colOff>2000250</xdr:colOff>
      <xdr:row>8</xdr:row>
      <xdr:rowOff>114300</xdr:rowOff>
    </xdr:from>
    <xdr:to>
      <xdr:col>4</xdr:col>
      <xdr:colOff>1352550</xdr:colOff>
      <xdr:row>15</xdr:row>
      <xdr:rowOff>76200</xdr:rowOff>
    </xdr:to>
    <xdr:pic>
      <xdr:nvPicPr>
        <xdr:cNvPr id="39" name="Image 38">
          <a:extLst>
            <a:ext uri="{FF2B5EF4-FFF2-40B4-BE49-F238E27FC236}">
              <a16:creationId xmlns:a16="http://schemas.microsoft.com/office/drawing/2014/main" id="{00000000-0008-0000-1B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47975" y="1638300"/>
          <a:ext cx="2486025" cy="129540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677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C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C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C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C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022/10/2019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C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2019/061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C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C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100335657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C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C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C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C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19048</xdr:rowOff>
    </xdr:from>
    <xdr:to>
      <xdr:col>5</xdr:col>
      <xdr:colOff>1447800</xdr:colOff>
      <xdr:row>40</xdr:row>
      <xdr:rowOff>114299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C00-00000E000000}"/>
            </a:ext>
          </a:extLst>
        </xdr:cNvPr>
        <xdr:cNvSpPr/>
      </xdr:nvSpPr>
      <xdr:spPr>
        <a:xfrm>
          <a:off x="76200" y="82099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 Cinquante-un mille trois cents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C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91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91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C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91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91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C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C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C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2019/061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C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34</xdr:row>
      <xdr:rowOff>28574</xdr:rowOff>
    </xdr:from>
    <xdr:to>
      <xdr:col>5</xdr:col>
      <xdr:colOff>1495424</xdr:colOff>
      <xdr:row>35</xdr:row>
      <xdr:rowOff>28575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C00-00001A000000}"/>
            </a:ext>
          </a:extLst>
        </xdr:cNvPr>
        <xdr:cNvSpPr/>
      </xdr:nvSpPr>
      <xdr:spPr>
        <a:xfrm>
          <a:off x="3752215" y="74383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C00-00001B000000}"/>
            </a:ext>
          </a:extLst>
        </xdr:cNvPr>
        <xdr:cNvSpPr/>
      </xdr:nvSpPr>
      <xdr:spPr>
        <a:xfrm>
          <a:off x="3019425" y="74295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C00-00001C000000}"/>
            </a:ext>
          </a:extLst>
        </xdr:cNvPr>
        <xdr:cNvSpPr/>
      </xdr:nvSpPr>
      <xdr:spPr>
        <a:xfrm>
          <a:off x="142875" y="74390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44</xdr:row>
      <xdr:rowOff>161924</xdr:rowOff>
    </xdr:from>
    <xdr:to>
      <xdr:col>4</xdr:col>
      <xdr:colOff>909389</xdr:colOff>
      <xdr:row>44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89609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D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D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r>
            <a:rPr lang="fr-FR" sz="2400" b="1" baseline="0"/>
            <a:t> 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D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D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22/10/2019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D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2019/061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D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D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100335657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D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D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D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D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D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1D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35</xdr:row>
      <xdr:rowOff>123825</xdr:rowOff>
    </xdr:from>
    <xdr:to>
      <xdr:col>4</xdr:col>
      <xdr:colOff>909278</xdr:colOff>
      <xdr:row>35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70585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35</xdr:row>
      <xdr:rowOff>38100</xdr:rowOff>
    </xdr:from>
    <xdr:to>
      <xdr:col>4</xdr:col>
      <xdr:colOff>895519</xdr:colOff>
      <xdr:row>35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62012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35</xdr:row>
      <xdr:rowOff>28575</xdr:rowOff>
    </xdr:from>
    <xdr:to>
      <xdr:col>4</xdr:col>
      <xdr:colOff>917998</xdr:colOff>
      <xdr:row>35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61060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35</xdr:row>
      <xdr:rowOff>28575</xdr:rowOff>
    </xdr:from>
    <xdr:to>
      <xdr:col>4</xdr:col>
      <xdr:colOff>906782</xdr:colOff>
      <xdr:row>35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1060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1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677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1E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1E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1E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1E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1E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2019/078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1E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1E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100335961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1E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1E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19048</xdr:rowOff>
    </xdr:from>
    <xdr:to>
      <xdr:col>5</xdr:col>
      <xdr:colOff>1447800</xdr:colOff>
      <xdr:row>40</xdr:row>
      <xdr:rowOff>114299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SpPr/>
      </xdr:nvSpPr>
      <xdr:spPr>
        <a:xfrm>
          <a:off x="76200" y="82099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Vingt trois mille cinq cent quatre vingt dix huit 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91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91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91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91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1E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E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1E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2019/078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1E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34</xdr:row>
      <xdr:rowOff>28574</xdr:rowOff>
    </xdr:from>
    <xdr:to>
      <xdr:col>5</xdr:col>
      <xdr:colOff>1495424</xdr:colOff>
      <xdr:row>35</xdr:row>
      <xdr:rowOff>28575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E00-00001A000000}"/>
            </a:ext>
          </a:extLst>
        </xdr:cNvPr>
        <xdr:cNvSpPr/>
      </xdr:nvSpPr>
      <xdr:spPr>
        <a:xfrm>
          <a:off x="3752215" y="74383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E00-00001B000000}"/>
            </a:ext>
          </a:extLst>
        </xdr:cNvPr>
        <xdr:cNvSpPr/>
      </xdr:nvSpPr>
      <xdr:spPr>
        <a:xfrm>
          <a:off x="3019425" y="74295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E00-00001C000000}"/>
            </a:ext>
          </a:extLst>
        </xdr:cNvPr>
        <xdr:cNvSpPr/>
      </xdr:nvSpPr>
      <xdr:spPr>
        <a:xfrm>
          <a:off x="142875" y="74390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44</xdr:row>
      <xdr:rowOff>161924</xdr:rowOff>
    </xdr:from>
    <xdr:to>
      <xdr:col>4</xdr:col>
      <xdr:colOff>909389</xdr:colOff>
      <xdr:row>44</xdr:row>
      <xdr:rowOff>166115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1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9818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1" name="Rectangle à coins arrondis 20">
          <a:extLst>
            <a:ext uri="{FF2B5EF4-FFF2-40B4-BE49-F238E27FC236}">
              <a16:creationId xmlns:a16="http://schemas.microsoft.com/office/drawing/2014/main" id="{00000000-0008-0000-1F00-000015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2" name="Rectangle à coins arrondis 21">
          <a:extLst>
            <a:ext uri="{FF2B5EF4-FFF2-40B4-BE49-F238E27FC236}">
              <a16:creationId xmlns:a16="http://schemas.microsoft.com/office/drawing/2014/main" id="{00000000-0008-0000-1F00-000016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r>
            <a:rPr lang="fr-FR" sz="2400" b="1" baseline="0"/>
            <a:t> 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1F00-000017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0000000-0008-0000-1F00-000018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20/12/2019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1F00-000019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2019/078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1F00-00001A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1F00-00001B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100335961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1F00-00001C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29" name="Rectangle à coins arrondis 28">
          <a:extLst>
            <a:ext uri="{FF2B5EF4-FFF2-40B4-BE49-F238E27FC236}">
              <a16:creationId xmlns:a16="http://schemas.microsoft.com/office/drawing/2014/main" id="{00000000-0008-0000-1F00-00001D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1F00-00001E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1F00-00001F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1F00-000020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3" name="Rectangle à coins arrondis 32">
          <a:extLst>
            <a:ext uri="{FF2B5EF4-FFF2-40B4-BE49-F238E27FC236}">
              <a16:creationId xmlns:a16="http://schemas.microsoft.com/office/drawing/2014/main" id="{00000000-0008-0000-1F00-000021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35</xdr:row>
      <xdr:rowOff>123825</xdr:rowOff>
    </xdr:from>
    <xdr:to>
      <xdr:col>4</xdr:col>
      <xdr:colOff>909278</xdr:colOff>
      <xdr:row>35</xdr:row>
      <xdr:rowOff>126322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1F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7915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35</xdr:row>
      <xdr:rowOff>38100</xdr:rowOff>
    </xdr:from>
    <xdr:to>
      <xdr:col>4</xdr:col>
      <xdr:colOff>895519</xdr:colOff>
      <xdr:row>35</xdr:row>
      <xdr:rowOff>39454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1F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7058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35</xdr:row>
      <xdr:rowOff>28575</xdr:rowOff>
    </xdr:from>
    <xdr:to>
      <xdr:col>4</xdr:col>
      <xdr:colOff>917998</xdr:colOff>
      <xdr:row>35</xdr:row>
      <xdr:rowOff>28745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1F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6963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35</xdr:row>
      <xdr:rowOff>28575</xdr:rowOff>
    </xdr:from>
    <xdr:to>
      <xdr:col>4</xdr:col>
      <xdr:colOff>906782</xdr:colOff>
      <xdr:row>35</xdr:row>
      <xdr:rowOff>30099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1F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96325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44</xdr:row>
      <xdr:rowOff>161924</xdr:rowOff>
    </xdr:from>
    <xdr:to>
      <xdr:col>4</xdr:col>
      <xdr:colOff>909389</xdr:colOff>
      <xdr:row>44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9818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20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20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r>
            <a:rPr lang="fr-FR" sz="2400" b="1" baseline="0"/>
            <a:t> 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20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20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20/12/2019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20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2019/079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20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20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100336018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20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20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20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20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20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20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35</xdr:row>
      <xdr:rowOff>123825</xdr:rowOff>
    </xdr:from>
    <xdr:to>
      <xdr:col>4</xdr:col>
      <xdr:colOff>909278</xdr:colOff>
      <xdr:row>35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2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7915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35</xdr:row>
      <xdr:rowOff>38100</xdr:rowOff>
    </xdr:from>
    <xdr:to>
      <xdr:col>4</xdr:col>
      <xdr:colOff>895519</xdr:colOff>
      <xdr:row>35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2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7058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35</xdr:row>
      <xdr:rowOff>28575</xdr:rowOff>
    </xdr:from>
    <xdr:to>
      <xdr:col>4</xdr:col>
      <xdr:colOff>917998</xdr:colOff>
      <xdr:row>35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2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6963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35</xdr:row>
      <xdr:rowOff>28575</xdr:rowOff>
    </xdr:from>
    <xdr:to>
      <xdr:col>4</xdr:col>
      <xdr:colOff>906782</xdr:colOff>
      <xdr:row>35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2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96325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677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21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21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21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21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/12/2019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21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2019/079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21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21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1003356018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21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21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21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21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19048</xdr:rowOff>
    </xdr:from>
    <xdr:to>
      <xdr:col>5</xdr:col>
      <xdr:colOff>1447800</xdr:colOff>
      <xdr:row>40</xdr:row>
      <xdr:rowOff>114299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2100-00000E000000}"/>
            </a:ext>
          </a:extLst>
        </xdr:cNvPr>
        <xdr:cNvSpPr/>
      </xdr:nvSpPr>
      <xdr:spPr>
        <a:xfrm>
          <a:off x="76200" y="82099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Vingt et un mille sept cent quatre vingt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2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2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91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2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91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2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2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2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91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2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91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2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915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21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21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2019/079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21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34</xdr:row>
      <xdr:rowOff>28574</xdr:rowOff>
    </xdr:from>
    <xdr:to>
      <xdr:col>5</xdr:col>
      <xdr:colOff>1495424</xdr:colOff>
      <xdr:row>35</xdr:row>
      <xdr:rowOff>28575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2100-00001A000000}"/>
            </a:ext>
          </a:extLst>
        </xdr:cNvPr>
        <xdr:cNvSpPr/>
      </xdr:nvSpPr>
      <xdr:spPr>
        <a:xfrm>
          <a:off x="3752215" y="74383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2100-00001B000000}"/>
            </a:ext>
          </a:extLst>
        </xdr:cNvPr>
        <xdr:cNvSpPr/>
      </xdr:nvSpPr>
      <xdr:spPr>
        <a:xfrm>
          <a:off x="3019425" y="74295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2100-00001C000000}"/>
            </a:ext>
          </a:extLst>
        </xdr:cNvPr>
        <xdr:cNvSpPr/>
      </xdr:nvSpPr>
      <xdr:spPr>
        <a:xfrm>
          <a:off x="142875" y="74390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582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23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23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23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23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18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/06/2020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23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2020/016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23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23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1003356901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23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23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23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23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19048</xdr:rowOff>
    </xdr:from>
    <xdr:to>
      <xdr:col>5</xdr:col>
      <xdr:colOff>1447800</xdr:colOff>
      <xdr:row>40</xdr:row>
      <xdr:rowOff>114299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2300-00000E000000}"/>
            </a:ext>
          </a:extLst>
        </xdr:cNvPr>
        <xdr:cNvSpPr/>
      </xdr:nvSpPr>
      <xdr:spPr>
        <a:xfrm>
          <a:off x="76200" y="84004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Quarante neuf mille huit cent cinquante deux </a:t>
          </a:r>
          <a:r>
            <a:rPr lang="fr-FR" sz="1100" b="1"/>
            <a:t>DIRHAMS ET 80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2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820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2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820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2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820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2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820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2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820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2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820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2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820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2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820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23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23">
          <a:extLst>
            <a:ext uri="{FF2B5EF4-FFF2-40B4-BE49-F238E27FC236}">
              <a16:creationId xmlns:a16="http://schemas.microsoft.com/office/drawing/2014/main" id="{00000000-0008-0000-23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2020/016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24">
          <a:extLst>
            <a:ext uri="{FF2B5EF4-FFF2-40B4-BE49-F238E27FC236}">
              <a16:creationId xmlns:a16="http://schemas.microsoft.com/office/drawing/2014/main" id="{00000000-0008-0000-23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34</xdr:row>
      <xdr:rowOff>28574</xdr:rowOff>
    </xdr:from>
    <xdr:to>
      <xdr:col>5</xdr:col>
      <xdr:colOff>1495424</xdr:colOff>
      <xdr:row>35</xdr:row>
      <xdr:rowOff>28575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2300-00001A000000}"/>
            </a:ext>
          </a:extLst>
        </xdr:cNvPr>
        <xdr:cNvSpPr/>
      </xdr:nvSpPr>
      <xdr:spPr>
        <a:xfrm>
          <a:off x="3752215" y="76288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2300-00001B000000}"/>
            </a:ext>
          </a:extLst>
        </xdr:cNvPr>
        <xdr:cNvSpPr/>
      </xdr:nvSpPr>
      <xdr:spPr>
        <a:xfrm>
          <a:off x="3019425" y="76200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2300-00001C000000}"/>
            </a:ext>
          </a:extLst>
        </xdr:cNvPr>
        <xdr:cNvSpPr/>
      </xdr:nvSpPr>
      <xdr:spPr>
        <a:xfrm>
          <a:off x="142875" y="76295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45</xdr:row>
      <xdr:rowOff>161924</xdr:rowOff>
    </xdr:from>
    <xdr:to>
      <xdr:col>4</xdr:col>
      <xdr:colOff>909389</xdr:colOff>
      <xdr:row>45</xdr:row>
      <xdr:rowOff>166115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23628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r>
            <a:rPr lang="fr-FR" sz="2400" b="1" baseline="0"/>
            <a:t> 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18/06/2020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24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2020/016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7">
          <a:extLst>
            <a:ext uri="{FF2B5EF4-FFF2-40B4-BE49-F238E27FC236}">
              <a16:creationId xmlns:a16="http://schemas.microsoft.com/office/drawing/2014/main" id="{00000000-0008-0000-24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100336901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9">
          <a:extLst>
            <a:ext uri="{FF2B5EF4-FFF2-40B4-BE49-F238E27FC236}">
              <a16:creationId xmlns:a16="http://schemas.microsoft.com/office/drawing/2014/main" id="{00000000-0008-0000-24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10">
          <a:extLst>
            <a:ext uri="{FF2B5EF4-FFF2-40B4-BE49-F238E27FC236}">
              <a16:creationId xmlns:a16="http://schemas.microsoft.com/office/drawing/2014/main" id="{00000000-0008-0000-24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11">
          <a:extLst>
            <a:ext uri="{FF2B5EF4-FFF2-40B4-BE49-F238E27FC236}">
              <a16:creationId xmlns:a16="http://schemas.microsoft.com/office/drawing/2014/main" id="{00000000-0008-0000-24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12">
          <a:extLst>
            <a:ext uri="{FF2B5EF4-FFF2-40B4-BE49-F238E27FC236}">
              <a16:creationId xmlns:a16="http://schemas.microsoft.com/office/drawing/2014/main" id="{00000000-0008-0000-24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13">
          <a:extLst>
            <a:ext uri="{FF2B5EF4-FFF2-40B4-BE49-F238E27FC236}">
              <a16:creationId xmlns:a16="http://schemas.microsoft.com/office/drawing/2014/main" id="{00000000-0008-0000-24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14">
          <a:extLst>
            <a:ext uri="{FF2B5EF4-FFF2-40B4-BE49-F238E27FC236}">
              <a16:creationId xmlns:a16="http://schemas.microsoft.com/office/drawing/2014/main" id="{00000000-0008-0000-24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36</xdr:row>
      <xdr:rowOff>123825</xdr:rowOff>
    </xdr:from>
    <xdr:to>
      <xdr:col>4</xdr:col>
      <xdr:colOff>909278</xdr:colOff>
      <xdr:row>36</xdr:row>
      <xdr:rowOff>126322</xdr:rowOff>
    </xdr:to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24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91725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36</xdr:row>
      <xdr:rowOff>38100</xdr:rowOff>
    </xdr:from>
    <xdr:to>
      <xdr:col>4</xdr:col>
      <xdr:colOff>895519</xdr:colOff>
      <xdr:row>36</xdr:row>
      <xdr:rowOff>39454</xdr:rowOff>
    </xdr:to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24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90868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36</xdr:row>
      <xdr:rowOff>28575</xdr:rowOff>
    </xdr:from>
    <xdr:to>
      <xdr:col>4</xdr:col>
      <xdr:colOff>917998</xdr:colOff>
      <xdr:row>36</xdr:row>
      <xdr:rowOff>28745</xdr:rowOff>
    </xdr:to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24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90773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36</xdr:row>
      <xdr:rowOff>28575</xdr:rowOff>
    </xdr:from>
    <xdr:to>
      <xdr:col>4</xdr:col>
      <xdr:colOff>906782</xdr:colOff>
      <xdr:row>36</xdr:row>
      <xdr:rowOff>30099</xdr:rowOff>
    </xdr:to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24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9077325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45</xdr:row>
      <xdr:rowOff>161924</xdr:rowOff>
    </xdr:from>
    <xdr:to>
      <xdr:col>4</xdr:col>
      <xdr:colOff>909389</xdr:colOff>
      <xdr:row>45</xdr:row>
      <xdr:rowOff>166115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25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267440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1" name="Rectangle à coins arrondis 20">
          <a:extLst>
            <a:ext uri="{FF2B5EF4-FFF2-40B4-BE49-F238E27FC236}">
              <a16:creationId xmlns:a16="http://schemas.microsoft.com/office/drawing/2014/main" id="{00000000-0008-0000-2500-000015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2" name="Rectangle à coins arrondis 21">
          <a:extLst>
            <a:ext uri="{FF2B5EF4-FFF2-40B4-BE49-F238E27FC236}">
              <a16:creationId xmlns:a16="http://schemas.microsoft.com/office/drawing/2014/main" id="{00000000-0008-0000-2500-000016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/>
            <a:t>ACIMA</a:t>
          </a:r>
          <a:r>
            <a:rPr lang="fr-FR" sz="2400" b="1" baseline="0"/>
            <a:t> 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104775</xdr:rowOff>
    </xdr:from>
    <xdr:to>
      <xdr:col>2</xdr:col>
      <xdr:colOff>1733550</xdr:colOff>
      <xdr:row>15</xdr:row>
      <xdr:rowOff>180974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2500-000017000000}"/>
            </a:ext>
          </a:extLst>
        </xdr:cNvPr>
        <xdr:cNvSpPr/>
      </xdr:nvSpPr>
      <xdr:spPr>
        <a:xfrm>
          <a:off x="180340" y="1628775"/>
          <a:ext cx="2400935" cy="140906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0000000-0008-0000-2500-000018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28/01/2021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2500-000019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2021/010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2500-00001A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2500-00001B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100338258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2500-00001C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29" name="Rectangle à coins arrondis 28">
          <a:extLst>
            <a:ext uri="{FF2B5EF4-FFF2-40B4-BE49-F238E27FC236}">
              <a16:creationId xmlns:a16="http://schemas.microsoft.com/office/drawing/2014/main" id="{00000000-0008-0000-2500-00001D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2500-00001E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2500-00001F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2500-000020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3" name="Rectangle à coins arrondis 32">
          <a:extLst>
            <a:ext uri="{FF2B5EF4-FFF2-40B4-BE49-F238E27FC236}">
              <a16:creationId xmlns:a16="http://schemas.microsoft.com/office/drawing/2014/main" id="{00000000-0008-0000-2500-000021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36</xdr:row>
      <xdr:rowOff>123825</xdr:rowOff>
    </xdr:from>
    <xdr:to>
      <xdr:col>4</xdr:col>
      <xdr:colOff>909278</xdr:colOff>
      <xdr:row>36</xdr:row>
      <xdr:rowOff>126322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25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077200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36</xdr:row>
      <xdr:rowOff>38100</xdr:rowOff>
    </xdr:from>
    <xdr:to>
      <xdr:col>4</xdr:col>
      <xdr:colOff>895519</xdr:colOff>
      <xdr:row>36</xdr:row>
      <xdr:rowOff>39454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25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991475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36</xdr:row>
      <xdr:rowOff>28575</xdr:rowOff>
    </xdr:from>
    <xdr:to>
      <xdr:col>4</xdr:col>
      <xdr:colOff>917998</xdr:colOff>
      <xdr:row>36</xdr:row>
      <xdr:rowOff>28745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25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981950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36</xdr:row>
      <xdr:rowOff>28575</xdr:rowOff>
    </xdr:from>
    <xdr:to>
      <xdr:col>4</xdr:col>
      <xdr:colOff>906782</xdr:colOff>
      <xdr:row>36</xdr:row>
      <xdr:rowOff>30099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25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981950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38</xdr:row>
      <xdr:rowOff>0</xdr:rowOff>
    </xdr:from>
    <xdr:to>
      <xdr:col>5</xdr:col>
      <xdr:colOff>909507</xdr:colOff>
      <xdr:row>38</xdr:row>
      <xdr:rowOff>4191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26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9401175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26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26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26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2600-000021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28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/01/2021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26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2021/010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26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26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100338258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26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26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26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2600-000029000000}"/>
            </a:ext>
          </a:extLst>
        </xdr:cNvPr>
        <xdr:cNvSpPr/>
      </xdr:nvSpPr>
      <xdr:spPr>
        <a:xfrm>
          <a:off x="76200" y="8943340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fr-FR" sz="1100" b="1"/>
            <a:t> </a:t>
          </a:r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Cent cinquante quatre mille et</a:t>
          </a:r>
        </a:p>
        <a:p>
          <a:pPr algn="l"/>
          <a:endParaRPr lang="fr-FR" sz="1100" b="1" baseline="0"/>
        </a:p>
        <a:p>
          <a:pPr algn="l"/>
          <a:r>
            <a:rPr lang="fr-FR" sz="1100" b="1" baseline="0"/>
            <a:t> cent cinquante deux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37</xdr:row>
      <xdr:rowOff>0</xdr:rowOff>
    </xdr:from>
    <xdr:to>
      <xdr:col>5</xdr:col>
      <xdr:colOff>909616</xdr:colOff>
      <xdr:row>37</xdr:row>
      <xdr:rowOff>2497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26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9249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37</xdr:row>
      <xdr:rowOff>0</xdr:rowOff>
    </xdr:from>
    <xdr:to>
      <xdr:col>5</xdr:col>
      <xdr:colOff>896324</xdr:colOff>
      <xdr:row>37</xdr:row>
      <xdr:rowOff>1354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26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9249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37</xdr:row>
      <xdr:rowOff>0</xdr:rowOff>
    </xdr:from>
    <xdr:to>
      <xdr:col>5</xdr:col>
      <xdr:colOff>918422</xdr:colOff>
      <xdr:row>37</xdr:row>
      <xdr:rowOff>1354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26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9249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37</xdr:row>
      <xdr:rowOff>0</xdr:rowOff>
    </xdr:from>
    <xdr:to>
      <xdr:col>5</xdr:col>
      <xdr:colOff>907163</xdr:colOff>
      <xdr:row>37</xdr:row>
      <xdr:rowOff>0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26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924925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37</xdr:row>
      <xdr:rowOff>0</xdr:rowOff>
    </xdr:from>
    <xdr:to>
      <xdr:col>5</xdr:col>
      <xdr:colOff>909616</xdr:colOff>
      <xdr:row>37</xdr:row>
      <xdr:rowOff>2497</xdr:rowOff>
    </xdr:to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26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924925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37</xdr:row>
      <xdr:rowOff>0</xdr:rowOff>
    </xdr:from>
    <xdr:to>
      <xdr:col>5</xdr:col>
      <xdr:colOff>896324</xdr:colOff>
      <xdr:row>37</xdr:row>
      <xdr:rowOff>1354</xdr:rowOff>
    </xdr:to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26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924925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37</xdr:row>
      <xdr:rowOff>0</xdr:rowOff>
    </xdr:from>
    <xdr:to>
      <xdr:col>5</xdr:col>
      <xdr:colOff>918422</xdr:colOff>
      <xdr:row>37</xdr:row>
      <xdr:rowOff>1354</xdr:rowOff>
    </xdr:to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26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924925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37</xdr:row>
      <xdr:rowOff>0</xdr:rowOff>
    </xdr:from>
    <xdr:to>
      <xdr:col>5</xdr:col>
      <xdr:colOff>907163</xdr:colOff>
      <xdr:row>37</xdr:row>
      <xdr:rowOff>0</xdr:rowOff>
    </xdr:to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26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924925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26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26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2021/010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26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400" b="1" baseline="0"/>
            <a:t>ACIMA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2600-000035000000}"/>
            </a:ext>
          </a:extLst>
        </xdr:cNvPr>
        <xdr:cNvSpPr/>
      </xdr:nvSpPr>
      <xdr:spPr>
        <a:xfrm>
          <a:off x="3752215" y="8171815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2600-000036000000}"/>
            </a:ext>
          </a:extLst>
        </xdr:cNvPr>
        <xdr:cNvSpPr/>
      </xdr:nvSpPr>
      <xdr:spPr>
        <a:xfrm>
          <a:off x="3019425" y="816292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2600-000037000000}"/>
            </a:ext>
          </a:extLst>
        </xdr:cNvPr>
        <xdr:cNvSpPr/>
      </xdr:nvSpPr>
      <xdr:spPr>
        <a:xfrm>
          <a:off x="142875" y="817245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904876</xdr:colOff>
      <xdr:row>45</xdr:row>
      <xdr:rowOff>161924</xdr:rowOff>
    </xdr:from>
    <xdr:to>
      <xdr:col>4</xdr:col>
      <xdr:colOff>909389</xdr:colOff>
      <xdr:row>45</xdr:row>
      <xdr:rowOff>166115</xdr:rowOff>
    </xdr:to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2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572115"/>
          <a:ext cx="4445" cy="4445"/>
        </a:xfrm>
        <a:prstGeom prst="rect">
          <a:avLst/>
        </a:prstGeom>
        <a:noFill/>
      </xdr:spPr>
    </xdr:pic>
    <xdr:clientData/>
  </xdr:two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1" name="Rectangle à coins arrondis 20">
          <a:extLst>
            <a:ext uri="{FF2B5EF4-FFF2-40B4-BE49-F238E27FC236}">
              <a16:creationId xmlns:a16="http://schemas.microsoft.com/office/drawing/2014/main" id="{00000000-0008-0000-2700-000015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2" name="Rectangle à coins arrondis 21">
          <a:extLst>
            <a:ext uri="{FF2B5EF4-FFF2-40B4-BE49-F238E27FC236}">
              <a16:creationId xmlns:a16="http://schemas.microsoft.com/office/drawing/2014/main" id="{00000000-0008-0000-2700-000016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3" name="Rectangle à coins arrondis 22">
          <a:extLst>
            <a:ext uri="{FF2B5EF4-FFF2-40B4-BE49-F238E27FC236}">
              <a16:creationId xmlns:a16="http://schemas.microsoft.com/office/drawing/2014/main" id="{00000000-0008-0000-2700-000017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00000000-0008-0000-2700-000018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22/10/2021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2700-000019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2021/065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6" name="Rectangle à coins arrondis 25">
          <a:extLst>
            <a:ext uri="{FF2B5EF4-FFF2-40B4-BE49-F238E27FC236}">
              <a16:creationId xmlns:a16="http://schemas.microsoft.com/office/drawing/2014/main" id="{00000000-0008-0000-2700-00001A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7" name="Rectangle à coins arrondis 26">
          <a:extLst>
            <a:ext uri="{FF2B5EF4-FFF2-40B4-BE49-F238E27FC236}">
              <a16:creationId xmlns:a16="http://schemas.microsoft.com/office/drawing/2014/main" id="{00000000-0008-0000-2700-00001B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8" name="Rectangle à coins arrondis 27">
          <a:extLst>
            <a:ext uri="{FF2B5EF4-FFF2-40B4-BE49-F238E27FC236}">
              <a16:creationId xmlns:a16="http://schemas.microsoft.com/office/drawing/2014/main" id="{00000000-0008-0000-2700-00001C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29" name="Rectangle à coins arrondis 28">
          <a:extLst>
            <a:ext uri="{FF2B5EF4-FFF2-40B4-BE49-F238E27FC236}">
              <a16:creationId xmlns:a16="http://schemas.microsoft.com/office/drawing/2014/main" id="{00000000-0008-0000-2700-00001D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2700-00001E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2700-00001F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2700-000020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3" name="Rectangle à coins arrondis 32">
          <a:extLst>
            <a:ext uri="{FF2B5EF4-FFF2-40B4-BE49-F238E27FC236}">
              <a16:creationId xmlns:a16="http://schemas.microsoft.com/office/drawing/2014/main" id="{00000000-0008-0000-2700-000021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4</xdr:col>
      <xdr:colOff>904875</xdr:colOff>
      <xdr:row>36</xdr:row>
      <xdr:rowOff>123825</xdr:rowOff>
    </xdr:from>
    <xdr:to>
      <xdr:col>4</xdr:col>
      <xdr:colOff>909278</xdr:colOff>
      <xdr:row>36</xdr:row>
      <xdr:rowOff>126322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27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381875"/>
          <a:ext cx="3810" cy="190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895350</xdr:colOff>
      <xdr:row>36</xdr:row>
      <xdr:rowOff>38100</xdr:rowOff>
    </xdr:from>
    <xdr:to>
      <xdr:col>4</xdr:col>
      <xdr:colOff>895519</xdr:colOff>
      <xdr:row>36</xdr:row>
      <xdr:rowOff>39454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27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296150"/>
          <a:ext cx="0" cy="127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914400</xdr:colOff>
      <xdr:row>36</xdr:row>
      <xdr:rowOff>28575</xdr:rowOff>
    </xdr:from>
    <xdr:to>
      <xdr:col>4</xdr:col>
      <xdr:colOff>917998</xdr:colOff>
      <xdr:row>36</xdr:row>
      <xdr:rowOff>28745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27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286625"/>
          <a:ext cx="3175" cy="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904876</xdr:colOff>
      <xdr:row>36</xdr:row>
      <xdr:rowOff>28575</xdr:rowOff>
    </xdr:from>
    <xdr:to>
      <xdr:col>4</xdr:col>
      <xdr:colOff>906782</xdr:colOff>
      <xdr:row>36</xdr:row>
      <xdr:rowOff>30099</xdr:rowOff>
    </xdr:to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27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286625"/>
          <a:ext cx="1905" cy="1270"/>
        </a:xfrm>
        <a:prstGeom prst="rect">
          <a:avLst/>
        </a:prstGeom>
        <a:noFill/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904876</xdr:colOff>
      <xdr:row>39</xdr:row>
      <xdr:rowOff>0</xdr:rowOff>
    </xdr:from>
    <xdr:to>
      <xdr:col>5</xdr:col>
      <xdr:colOff>909507</xdr:colOff>
      <xdr:row>39</xdr:row>
      <xdr:rowOff>4191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28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9048750"/>
          <a:ext cx="4445" cy="381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28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28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28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2800-000021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22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/10/2020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28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2021/065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28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28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28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28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28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28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38</xdr:row>
      <xdr:rowOff>19048</xdr:rowOff>
    </xdr:from>
    <xdr:to>
      <xdr:col>5</xdr:col>
      <xdr:colOff>1447800</xdr:colOff>
      <xdr:row>40</xdr:row>
      <xdr:rowOff>114299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2800-000029000000}"/>
            </a:ext>
          </a:extLst>
        </xdr:cNvPr>
        <xdr:cNvSpPr/>
      </xdr:nvSpPr>
      <xdr:spPr>
        <a:xfrm>
          <a:off x="76200" y="85909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Quarante et un mille et quarante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28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72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28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572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28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572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28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72500"/>
          <a:ext cx="1905" cy="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904875</xdr:colOff>
      <xdr:row>38</xdr:row>
      <xdr:rowOff>0</xdr:rowOff>
    </xdr:from>
    <xdr:to>
      <xdr:col>5</xdr:col>
      <xdr:colOff>909616</xdr:colOff>
      <xdr:row>38</xdr:row>
      <xdr:rowOff>2497</xdr:rowOff>
    </xdr:to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28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72500"/>
          <a:ext cx="4445" cy="1905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895350</xdr:colOff>
      <xdr:row>38</xdr:row>
      <xdr:rowOff>0</xdr:rowOff>
    </xdr:from>
    <xdr:to>
      <xdr:col>5</xdr:col>
      <xdr:colOff>896324</xdr:colOff>
      <xdr:row>38</xdr:row>
      <xdr:rowOff>1354</xdr:rowOff>
    </xdr:to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28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572500"/>
          <a:ext cx="635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914400</xdr:colOff>
      <xdr:row>38</xdr:row>
      <xdr:rowOff>0</xdr:rowOff>
    </xdr:from>
    <xdr:to>
      <xdr:col>5</xdr:col>
      <xdr:colOff>918422</xdr:colOff>
      <xdr:row>38</xdr:row>
      <xdr:rowOff>1354</xdr:rowOff>
    </xdr:to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28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572500"/>
          <a:ext cx="3810" cy="1270"/>
        </a:xfrm>
        <a:prstGeom prst="rect">
          <a:avLst/>
        </a:prstGeom>
        <a:noFill/>
      </xdr:spPr>
    </xdr:pic>
    <xdr:clientData/>
  </xdr:twoCellAnchor>
  <xdr:twoCellAnchor editAs="oneCell">
    <xdr:from>
      <xdr:col>5</xdr:col>
      <xdr:colOff>904876</xdr:colOff>
      <xdr:row>38</xdr:row>
      <xdr:rowOff>0</xdr:rowOff>
    </xdr:from>
    <xdr:to>
      <xdr:col>5</xdr:col>
      <xdr:colOff>907163</xdr:colOff>
      <xdr:row>38</xdr:row>
      <xdr:rowOff>0</xdr:rowOff>
    </xdr:to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28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72500"/>
          <a:ext cx="1905" cy="0"/>
        </a:xfrm>
        <a:prstGeom prst="rect">
          <a:avLst/>
        </a:prstGeom>
        <a:noFill/>
      </xdr:spPr>
    </xdr:pic>
    <xdr:clientData/>
  </xdr:two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28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28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2021/065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28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34</xdr:row>
      <xdr:rowOff>28574</xdr:rowOff>
    </xdr:from>
    <xdr:to>
      <xdr:col>5</xdr:col>
      <xdr:colOff>1495424</xdr:colOff>
      <xdr:row>35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2800-000035000000}"/>
            </a:ext>
          </a:extLst>
        </xdr:cNvPr>
        <xdr:cNvSpPr/>
      </xdr:nvSpPr>
      <xdr:spPr>
        <a:xfrm>
          <a:off x="3752215" y="78193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34</xdr:row>
      <xdr:rowOff>19050</xdr:rowOff>
    </xdr:from>
    <xdr:to>
      <xdr:col>3</xdr:col>
      <xdr:colOff>733425</xdr:colOff>
      <xdr:row>34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2800-000036000000}"/>
            </a:ext>
          </a:extLst>
        </xdr:cNvPr>
        <xdr:cNvSpPr/>
      </xdr:nvSpPr>
      <xdr:spPr>
        <a:xfrm>
          <a:off x="3019425" y="78105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34</xdr:row>
      <xdr:rowOff>28575</xdr:rowOff>
    </xdr:from>
    <xdr:to>
      <xdr:col>2</xdr:col>
      <xdr:colOff>2143125</xdr:colOff>
      <xdr:row>34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2800-000037000000}"/>
            </a:ext>
          </a:extLst>
        </xdr:cNvPr>
        <xdr:cNvSpPr/>
      </xdr:nvSpPr>
      <xdr:spPr>
        <a:xfrm>
          <a:off x="142875" y="78200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2B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2B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2B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2B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/04/2024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2B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2024/012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2B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2B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1003445742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2B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2B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2B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2B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2B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Vingt sept mille et deux cent seize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2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2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2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2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2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2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2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2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2B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2B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2024/012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2B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2B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2B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2B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9531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2C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2C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2C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2C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20/04/2024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2C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2024/012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2C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2C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2C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2C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2C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2C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2C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2C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2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7628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2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6771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2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6676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2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6676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2C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1003445742</a:t>
          </a:r>
        </a:p>
      </xdr:txBody>
    </xdr: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2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9531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2D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2D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2D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2D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23/12/2024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2D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2024/059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2D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2D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2D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2D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2D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2D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2D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2D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2D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7628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2D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6771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2D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6676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2D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6676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2D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100345610</a:t>
          </a:r>
        </a:p>
      </xdr:txBody>
    </xdr:sp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0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0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0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23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/12/2024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0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2024/059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0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0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100345610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0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0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0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0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0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Trente et un mille et sept cent cinquante deux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0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0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0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0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0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0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2024/059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0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0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0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0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1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1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1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1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23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/12/2024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1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2024/060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1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1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100346396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1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1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1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1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1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Treize mille huit cent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1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1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2024/060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1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1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1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1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9531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32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32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32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2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23/12/2024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2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2024/060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32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32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32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32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32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32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32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32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7628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6771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6676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6676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32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100346396</a:t>
          </a:r>
        </a:p>
      </xdr:txBody>
    </xdr:sp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3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3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300-000006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23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/12/2024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3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2024/062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3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3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100347268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3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3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3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3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3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Douze mille deux cent quarante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3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3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3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3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3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3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3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3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3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3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2024/062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3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3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3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3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7626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34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34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34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34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23/12/2024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34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2024/062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34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34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34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34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34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34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34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34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3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5723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3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4866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3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4771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3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4771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34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100347268</a:t>
          </a:r>
        </a:p>
      </xdr:txBody>
    </xdr:sp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3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35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35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35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28575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3500-000021000000}"/>
            </a:ext>
          </a:extLst>
        </xdr:cNvPr>
        <xdr:cNvSpPr txBox="1"/>
      </xdr:nvSpPr>
      <xdr:spPr>
        <a:xfrm>
          <a:off x="3095625" y="933450"/>
          <a:ext cx="1367155" cy="2476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16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/01/2025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35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2025/001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35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35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100347526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35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35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35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35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3500-000029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Dix mille deux cents 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35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3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35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35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35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35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35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35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35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35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2025/001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35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3500-000035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3500-000036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3500-000037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7626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36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36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6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02/01/2025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6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2025/001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36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36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36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36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36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36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36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36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6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5723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6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4866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6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4771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6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4771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36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100347526</a:t>
          </a:r>
        </a:p>
      </xdr:txBody>
    </xdr:sp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7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7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7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7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/02/2025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7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2025/025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7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7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100346395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7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7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7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7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7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Onze mille quarante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7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7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2025/025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7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7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7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7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9531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38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10/02/2025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2025/025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38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7628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8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6771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8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6676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8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6676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38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100346395</a:t>
          </a:r>
        </a:p>
      </xdr:txBody>
    </xdr:sp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37</xdr:row>
      <xdr:rowOff>0</xdr:rowOff>
    </xdr:from>
    <xdr:ext cx="4631" cy="4191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39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6106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39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39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39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3900-000021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22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/12/2025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39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2025/110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39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39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100348869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39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39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39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39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36</xdr:row>
      <xdr:rowOff>19048</xdr:rowOff>
    </xdr:from>
    <xdr:to>
      <xdr:col>5</xdr:col>
      <xdr:colOff>1447800</xdr:colOff>
      <xdr:row>38</xdr:row>
      <xdr:rowOff>114299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3900-000029000000}"/>
            </a:ext>
          </a:extLst>
        </xdr:cNvPr>
        <xdr:cNvSpPr/>
      </xdr:nvSpPr>
      <xdr:spPr>
        <a:xfrm>
          <a:off x="76200" y="81527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Cent onze mille deux cent quarante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36</xdr:row>
      <xdr:rowOff>0</xdr:rowOff>
    </xdr:from>
    <xdr:ext cx="4741" cy="2497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39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343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36</xdr:row>
      <xdr:rowOff>0</xdr:rowOff>
    </xdr:from>
    <xdr:ext cx="974" cy="1354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39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343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36</xdr:row>
      <xdr:rowOff>0</xdr:rowOff>
    </xdr:from>
    <xdr:ext cx="4022" cy="1354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39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343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36</xdr:row>
      <xdr:rowOff>0</xdr:rowOff>
    </xdr:from>
    <xdr:ext cx="2287" cy="0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39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343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36</xdr:row>
      <xdr:rowOff>0</xdr:rowOff>
    </xdr:from>
    <xdr:ext cx="4741" cy="2497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39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343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36</xdr:row>
      <xdr:rowOff>0</xdr:rowOff>
    </xdr:from>
    <xdr:ext cx="974" cy="1354"/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39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1343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36</xdr:row>
      <xdr:rowOff>0</xdr:rowOff>
    </xdr:from>
    <xdr:ext cx="4022" cy="1354"/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39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1343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36</xdr:row>
      <xdr:rowOff>0</xdr:rowOff>
    </xdr:from>
    <xdr:ext cx="2287" cy="0"/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39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1343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39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39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2025/110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39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32</xdr:row>
      <xdr:rowOff>28574</xdr:rowOff>
    </xdr:from>
    <xdr:to>
      <xdr:col>5</xdr:col>
      <xdr:colOff>1495424</xdr:colOff>
      <xdr:row>33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3900-000035000000}"/>
            </a:ext>
          </a:extLst>
        </xdr:cNvPr>
        <xdr:cNvSpPr/>
      </xdr:nvSpPr>
      <xdr:spPr>
        <a:xfrm>
          <a:off x="3752215" y="73812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32</xdr:row>
      <xdr:rowOff>19050</xdr:rowOff>
    </xdr:from>
    <xdr:to>
      <xdr:col>3</xdr:col>
      <xdr:colOff>733425</xdr:colOff>
      <xdr:row>32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3900-000036000000}"/>
            </a:ext>
          </a:extLst>
        </xdr:cNvPr>
        <xdr:cNvSpPr/>
      </xdr:nvSpPr>
      <xdr:spPr>
        <a:xfrm>
          <a:off x="3019425" y="73723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32</xdr:row>
      <xdr:rowOff>28575</xdr:rowOff>
    </xdr:from>
    <xdr:to>
      <xdr:col>2</xdr:col>
      <xdr:colOff>2143125</xdr:colOff>
      <xdr:row>32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3900-000037000000}"/>
            </a:ext>
          </a:extLst>
        </xdr:cNvPr>
        <xdr:cNvSpPr/>
      </xdr:nvSpPr>
      <xdr:spPr>
        <a:xfrm>
          <a:off x="142875" y="73818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9531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3A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3A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3A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A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22/12/2025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A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2025/110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3A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3A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3A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3A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3A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3A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3A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3A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A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7628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A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6771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A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6676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A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6676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3A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100348869</a:t>
          </a:r>
        </a:p>
      </xdr:txBody>
    </xdr:sp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B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22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/12/2025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B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2025/111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B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B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100346315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B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B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B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B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B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Quatorze mille quarante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B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B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B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B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B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B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B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B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B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B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2025/111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B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B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B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B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9531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22/12/2025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2025/111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3C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3C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3C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3C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3C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3C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C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7628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C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6771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C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6676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C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6676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3C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100346315</a:t>
          </a:r>
        </a:p>
      </xdr:txBody>
    </xdr:sp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D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D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D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D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23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/12/2025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D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2025/112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D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D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100349488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D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D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D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D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Douze mille deux cent quarante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D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D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2025/112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D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D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D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D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7626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3E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3E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23/12/2025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E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2025/112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3E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3E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3E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3E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3E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3E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3E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3E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5723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4866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4771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4771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3E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100349488</a:t>
          </a:r>
        </a:p>
      </xdr:txBody>
    </xdr:sp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3F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3F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3F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06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/02/2026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3F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2026/010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3F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3F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100349094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3F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3F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3F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3F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3F00-00000E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Soixante douze mille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3F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3F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3F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3F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3F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3F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3F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3F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3F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3F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2026/010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3F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3F00-00001A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3F00-00001B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3F00-00001C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34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70585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41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SpPr/>
      </xdr:nvSpPr>
      <xdr:spPr>
        <a:xfrm>
          <a:off x="146049" y="1250950"/>
          <a:ext cx="2768601" cy="121285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41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23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/12/2025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41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2025/115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41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41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100348871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41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41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41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41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33</xdr:row>
      <xdr:rowOff>19048</xdr:rowOff>
    </xdr:from>
    <xdr:to>
      <xdr:col>5</xdr:col>
      <xdr:colOff>1447800</xdr:colOff>
      <xdr:row>35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4100-00000E000000}"/>
            </a:ext>
          </a:extLst>
        </xdr:cNvPr>
        <xdr:cNvSpPr/>
      </xdr:nvSpPr>
      <xdr:spPr>
        <a:xfrm>
          <a:off x="76200" y="82480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Cent trente mille deux cent quatre vingt seize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41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41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2960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41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2960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41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41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41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2960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1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2960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41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41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4100-000018000000}"/>
            </a:ext>
          </a:extLst>
        </xdr:cNvPr>
        <xdr:cNvSpPr/>
      </xdr:nvSpPr>
      <xdr:spPr>
        <a:xfrm>
          <a:off x="2895599" y="2889251"/>
          <a:ext cx="930276" cy="231774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2025/115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41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29</xdr:row>
      <xdr:rowOff>28574</xdr:rowOff>
    </xdr:from>
    <xdr:to>
      <xdr:col>5</xdr:col>
      <xdr:colOff>1495424</xdr:colOff>
      <xdr:row>30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4100-00001A000000}"/>
            </a:ext>
          </a:extLst>
        </xdr:cNvPr>
        <xdr:cNvSpPr/>
      </xdr:nvSpPr>
      <xdr:spPr>
        <a:xfrm>
          <a:off x="3752215" y="74764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29</xdr:row>
      <xdr:rowOff>19050</xdr:rowOff>
    </xdr:from>
    <xdr:to>
      <xdr:col>3</xdr:col>
      <xdr:colOff>733425</xdr:colOff>
      <xdr:row>29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4100-00001B000000}"/>
            </a:ext>
          </a:extLst>
        </xdr:cNvPr>
        <xdr:cNvSpPr/>
      </xdr:nvSpPr>
      <xdr:spPr>
        <a:xfrm>
          <a:off x="3019425" y="74676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29</xdr:row>
      <xdr:rowOff>28575</xdr:rowOff>
    </xdr:from>
    <xdr:to>
      <xdr:col>2</xdr:col>
      <xdr:colOff>2143125</xdr:colOff>
      <xdr:row>29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4100-00001C000000}"/>
            </a:ext>
          </a:extLst>
        </xdr:cNvPr>
        <xdr:cNvSpPr/>
      </xdr:nvSpPr>
      <xdr:spPr>
        <a:xfrm>
          <a:off x="142875" y="74771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15090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42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42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42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2054225</xdr:colOff>
      <xdr:row>6</xdr:row>
      <xdr:rowOff>38100</xdr:rowOff>
    </xdr:from>
    <xdr:to>
      <xdr:col>4</xdr:col>
      <xdr:colOff>173566</xdr:colOff>
      <xdr:row>7</xdr:row>
      <xdr:rowOff>95250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4200-000019000000}"/>
            </a:ext>
          </a:extLst>
        </xdr:cNvPr>
        <xdr:cNvSpPr txBox="1"/>
      </xdr:nvSpPr>
      <xdr:spPr>
        <a:xfrm>
          <a:off x="2943225" y="1143000"/>
          <a:ext cx="1402291" cy="2413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ctr"/>
        <a:lstStyle/>
        <a:p>
          <a:pPr algn="ctr"/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23/12/2025</a:t>
          </a:r>
          <a:endParaRPr lang="fr-FR"/>
        </a:p>
      </xdr:txBody>
    </xdr:sp>
    <xdr:clientData/>
  </xdr:twoCellAnchor>
  <xdr:twoCellAnchor>
    <xdr:from>
      <xdr:col>4</xdr:col>
      <xdr:colOff>233895</xdr:colOff>
      <xdr:row>6</xdr:row>
      <xdr:rowOff>34925</xdr:rowOff>
    </xdr:from>
    <xdr:to>
      <xdr:col>4</xdr:col>
      <xdr:colOff>1225550</xdr:colOff>
      <xdr:row>7</xdr:row>
      <xdr:rowOff>92075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4200-00001A000000}"/>
            </a:ext>
          </a:extLst>
        </xdr:cNvPr>
        <xdr:cNvSpPr txBox="1"/>
      </xdr:nvSpPr>
      <xdr:spPr>
        <a:xfrm>
          <a:off x="4405845" y="1139825"/>
          <a:ext cx="991655" cy="2413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ctr"/>
        <a:lstStyle/>
        <a:p>
          <a:pPr algn="l"/>
          <a:r>
            <a:rPr lang="fr-FR" sz="1100"/>
            <a:t>N :  2025/115</a:t>
          </a:r>
          <a:endParaRPr lang="fr-FR" sz="1100" b="1"/>
        </a:p>
      </xdr:txBody>
    </xdr:sp>
    <xdr:clientData/>
  </xdr:twoCellAnchor>
  <xdr:twoCellAnchor>
    <xdr:from>
      <xdr:col>1</xdr:col>
      <xdr:colOff>25400</xdr:colOff>
      <xdr:row>19</xdr:row>
      <xdr:rowOff>69849</xdr:rowOff>
    </xdr:from>
    <xdr:to>
      <xdr:col>2</xdr:col>
      <xdr:colOff>168275</xdr:colOff>
      <xdr:row>21</xdr:row>
      <xdr:rowOff>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4200-00001B000000}"/>
            </a:ext>
          </a:extLst>
        </xdr:cNvPr>
        <xdr:cNvSpPr/>
      </xdr:nvSpPr>
      <xdr:spPr>
        <a:xfrm>
          <a:off x="196850" y="3568699"/>
          <a:ext cx="860425" cy="298451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42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4200-00001D000000}"/>
            </a:ext>
          </a:extLst>
        </xdr:cNvPr>
        <xdr:cNvSpPr/>
      </xdr:nvSpPr>
      <xdr:spPr>
        <a:xfrm>
          <a:off x="2708275" y="3575050"/>
          <a:ext cx="1616075" cy="2889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t"/>
        <a:lstStyle/>
        <a:p>
          <a:pPr algn="ctr"/>
          <a:r>
            <a:rPr lang="fr-FR" sz="800">
              <a:solidFill>
                <a:schemeClr val="tx1"/>
              </a:solidFill>
            </a:rPr>
            <a:t>60 JRs de la réception de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42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34926</xdr:rowOff>
    </xdr:from>
    <xdr:to>
      <xdr:col>2</xdr:col>
      <xdr:colOff>180975</xdr:colOff>
      <xdr:row>18</xdr:row>
      <xdr:rowOff>149226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4200-00001F000000}"/>
            </a:ext>
          </a:extLst>
        </xdr:cNvPr>
        <xdr:cNvSpPr/>
      </xdr:nvSpPr>
      <xdr:spPr>
        <a:xfrm>
          <a:off x="190500" y="3165476"/>
          <a:ext cx="879475" cy="298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42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4200-000021000000}"/>
            </a:ext>
          </a:extLst>
        </xdr:cNvPr>
        <xdr:cNvSpPr/>
      </xdr:nvSpPr>
      <xdr:spPr>
        <a:xfrm>
          <a:off x="4391025" y="3149600"/>
          <a:ext cx="1076325" cy="3587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42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4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24850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4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239125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4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229600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4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229600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42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100348871</a:t>
          </a:r>
        </a:p>
      </xdr:txBody>
    </xdr:sp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38</xdr:row>
      <xdr:rowOff>0</xdr:rowOff>
    </xdr:from>
    <xdr:ext cx="4631" cy="4191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43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8011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43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43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43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4300-000021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04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/04/2026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43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2026/017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43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43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100347697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43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43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43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43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37</xdr:row>
      <xdr:rowOff>19048</xdr:rowOff>
    </xdr:from>
    <xdr:to>
      <xdr:col>5</xdr:col>
      <xdr:colOff>1447800</xdr:colOff>
      <xdr:row>39</xdr:row>
      <xdr:rowOff>114299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4300-000029000000}"/>
            </a:ext>
          </a:extLst>
        </xdr:cNvPr>
        <xdr:cNvSpPr/>
      </xdr:nvSpPr>
      <xdr:spPr>
        <a:xfrm>
          <a:off x="76200" y="83432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Dix mille deux cent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43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43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43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43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37</xdr:row>
      <xdr:rowOff>0</xdr:rowOff>
    </xdr:from>
    <xdr:ext cx="4741" cy="2497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43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37</xdr:row>
      <xdr:rowOff>0</xdr:rowOff>
    </xdr:from>
    <xdr:ext cx="974" cy="1354"/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43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3248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37</xdr:row>
      <xdr:rowOff>0</xdr:rowOff>
    </xdr:from>
    <xdr:ext cx="4022" cy="1354"/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43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3248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37</xdr:row>
      <xdr:rowOff>0</xdr:rowOff>
    </xdr:from>
    <xdr:ext cx="2287" cy="0"/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43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3248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43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43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2026/017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43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33</xdr:row>
      <xdr:rowOff>28574</xdr:rowOff>
    </xdr:from>
    <xdr:to>
      <xdr:col>5</xdr:col>
      <xdr:colOff>1495424</xdr:colOff>
      <xdr:row>34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4300-000035000000}"/>
            </a:ext>
          </a:extLst>
        </xdr:cNvPr>
        <xdr:cNvSpPr/>
      </xdr:nvSpPr>
      <xdr:spPr>
        <a:xfrm>
          <a:off x="3752215" y="75717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33</xdr:row>
      <xdr:rowOff>19050</xdr:rowOff>
    </xdr:from>
    <xdr:to>
      <xdr:col>3</xdr:col>
      <xdr:colOff>733425</xdr:colOff>
      <xdr:row>33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4300-000036000000}"/>
            </a:ext>
          </a:extLst>
        </xdr:cNvPr>
        <xdr:cNvSpPr/>
      </xdr:nvSpPr>
      <xdr:spPr>
        <a:xfrm>
          <a:off x="3019425" y="75628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33</xdr:row>
      <xdr:rowOff>28575</xdr:rowOff>
    </xdr:from>
    <xdr:to>
      <xdr:col>2</xdr:col>
      <xdr:colOff>2143125</xdr:colOff>
      <xdr:row>33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4300-000037000000}"/>
            </a:ext>
          </a:extLst>
        </xdr:cNvPr>
        <xdr:cNvSpPr/>
      </xdr:nvSpPr>
      <xdr:spPr>
        <a:xfrm>
          <a:off x="142875" y="75723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4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07626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44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44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44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44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06/04/2026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44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2026/017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44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44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44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44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44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44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44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44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44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5723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44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74866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44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74771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44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74771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44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100347697</a:t>
          </a:r>
        </a:p>
      </xdr:txBody>
    </xdr:sp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34</xdr:row>
      <xdr:rowOff>0</xdr:rowOff>
    </xdr:from>
    <xdr:ext cx="4631" cy="4191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45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70585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4500-00001E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4500-00001F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45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4500-000021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06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/04/2026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4500-000022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2026/018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45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45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100348867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4500-000025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45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4500-000027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45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33</xdr:row>
      <xdr:rowOff>19048</xdr:rowOff>
    </xdr:from>
    <xdr:to>
      <xdr:col>5</xdr:col>
      <xdr:colOff>1447800</xdr:colOff>
      <xdr:row>35</xdr:row>
      <xdr:rowOff>114299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4500-000029000000}"/>
            </a:ext>
          </a:extLst>
        </xdr:cNvPr>
        <xdr:cNvSpPr/>
      </xdr:nvSpPr>
      <xdr:spPr>
        <a:xfrm>
          <a:off x="76200" y="824801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Soixante quatre mille neuf cent quarante quatre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45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45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2960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45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2960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45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45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45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2960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45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2960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45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2960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45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45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2026/018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4500-000034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29</xdr:row>
      <xdr:rowOff>28574</xdr:rowOff>
    </xdr:from>
    <xdr:to>
      <xdr:col>5</xdr:col>
      <xdr:colOff>1495424</xdr:colOff>
      <xdr:row>30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4500-000035000000}"/>
            </a:ext>
          </a:extLst>
        </xdr:cNvPr>
        <xdr:cNvSpPr/>
      </xdr:nvSpPr>
      <xdr:spPr>
        <a:xfrm>
          <a:off x="3752215" y="747649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29</xdr:row>
      <xdr:rowOff>19050</xdr:rowOff>
    </xdr:from>
    <xdr:to>
      <xdr:col>3</xdr:col>
      <xdr:colOff>733425</xdr:colOff>
      <xdr:row>29</xdr:row>
      <xdr:rowOff>333375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4500-000036000000}"/>
            </a:ext>
          </a:extLst>
        </xdr:cNvPr>
        <xdr:cNvSpPr/>
      </xdr:nvSpPr>
      <xdr:spPr>
        <a:xfrm>
          <a:off x="3019425" y="746760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29</xdr:row>
      <xdr:rowOff>28575</xdr:rowOff>
    </xdr:from>
    <xdr:to>
      <xdr:col>2</xdr:col>
      <xdr:colOff>2143125</xdr:colOff>
      <xdr:row>29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4500-000037000000}"/>
            </a:ext>
          </a:extLst>
        </xdr:cNvPr>
        <xdr:cNvSpPr/>
      </xdr:nvSpPr>
      <xdr:spPr>
        <a:xfrm>
          <a:off x="142875" y="747712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6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515090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46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46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46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46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06/04/2026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46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2026/018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46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46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46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46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46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46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46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46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4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324850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46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239125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46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229600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46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229600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46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100348867</a:t>
          </a:r>
        </a:p>
      </xdr:txBody>
    </xdr:sp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34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72490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47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47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47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15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/07/2026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47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2026/047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47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47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100348868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47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47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47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47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33</xdr:row>
      <xdr:rowOff>19048</xdr:rowOff>
    </xdr:from>
    <xdr:to>
      <xdr:col>5</xdr:col>
      <xdr:colOff>1447800</xdr:colOff>
      <xdr:row>35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4700-00000E000000}"/>
            </a:ext>
          </a:extLst>
        </xdr:cNvPr>
        <xdr:cNvSpPr/>
      </xdr:nvSpPr>
      <xdr:spPr>
        <a:xfrm>
          <a:off x="76200" y="8267065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Douze mille neuf cent douze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47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486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4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486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47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486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47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486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47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486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47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2486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2486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4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2486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47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47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2026/047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47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29</xdr:row>
      <xdr:rowOff>28574</xdr:rowOff>
    </xdr:from>
    <xdr:to>
      <xdr:col>5</xdr:col>
      <xdr:colOff>1495424</xdr:colOff>
      <xdr:row>30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4700-00001A000000}"/>
            </a:ext>
          </a:extLst>
        </xdr:cNvPr>
        <xdr:cNvSpPr/>
      </xdr:nvSpPr>
      <xdr:spPr>
        <a:xfrm>
          <a:off x="3752215" y="7495540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29</xdr:row>
      <xdr:rowOff>19050</xdr:rowOff>
    </xdr:from>
    <xdr:to>
      <xdr:col>3</xdr:col>
      <xdr:colOff>733425</xdr:colOff>
      <xdr:row>29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4700-00001B000000}"/>
            </a:ext>
          </a:extLst>
        </xdr:cNvPr>
        <xdr:cNvSpPr/>
      </xdr:nvSpPr>
      <xdr:spPr>
        <a:xfrm>
          <a:off x="3019425" y="74866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29</xdr:row>
      <xdr:rowOff>28575</xdr:rowOff>
    </xdr:from>
    <xdr:to>
      <xdr:col>2</xdr:col>
      <xdr:colOff>2143125</xdr:colOff>
      <xdr:row>29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4700-00001C000000}"/>
            </a:ext>
          </a:extLst>
        </xdr:cNvPr>
        <xdr:cNvSpPr/>
      </xdr:nvSpPr>
      <xdr:spPr>
        <a:xfrm>
          <a:off x="142875" y="74961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8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77226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48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48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48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48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15/07/2026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48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2026/047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48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48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48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48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48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48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48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48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48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58202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48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49630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48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48677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48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8677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48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100348868</a:t>
          </a:r>
        </a:p>
      </xdr:txBody>
    </xdr:sp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34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505825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4900-000003000000}"/>
            </a:ext>
          </a:extLst>
        </xdr:cNvPr>
        <xdr:cNvSpPr/>
      </xdr:nvSpPr>
      <xdr:spPr>
        <a:xfrm>
          <a:off x="2981325" y="19050"/>
          <a:ext cx="2781300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4900-000004000000}"/>
            </a:ext>
          </a:extLst>
        </xdr:cNvPr>
        <xdr:cNvSpPr/>
      </xdr:nvSpPr>
      <xdr:spPr>
        <a:xfrm>
          <a:off x="3019425" y="1581150"/>
          <a:ext cx="27209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49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49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15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/07/2026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4900-000007000000}"/>
            </a:ext>
          </a:extLst>
        </xdr:cNvPr>
        <xdr:cNvSpPr txBox="1"/>
      </xdr:nvSpPr>
      <xdr:spPr>
        <a:xfrm>
          <a:off x="4532630" y="923925"/>
          <a:ext cx="1153795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2026/048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49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49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100348870</a:t>
          </a: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4900-00000A000000}"/>
            </a:ext>
          </a:extLst>
        </xdr:cNvPr>
        <xdr:cNvSpPr/>
      </xdr:nvSpPr>
      <xdr:spPr>
        <a:xfrm>
          <a:off x="3829050" y="2990850"/>
          <a:ext cx="19621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49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4900-00000C000000}"/>
            </a:ext>
          </a:extLst>
        </xdr:cNvPr>
        <xdr:cNvSpPr/>
      </xdr:nvSpPr>
      <xdr:spPr>
        <a:xfrm>
          <a:off x="3819525" y="2686050"/>
          <a:ext cx="195262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49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0</xdr:col>
      <xdr:colOff>76200</xdr:colOff>
      <xdr:row>33</xdr:row>
      <xdr:rowOff>19048</xdr:rowOff>
    </xdr:from>
    <xdr:to>
      <xdr:col>5</xdr:col>
      <xdr:colOff>1447800</xdr:colOff>
      <xdr:row>35</xdr:row>
      <xdr:rowOff>114299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4900-00000E000000}"/>
            </a:ext>
          </a:extLst>
        </xdr:cNvPr>
        <xdr:cNvSpPr/>
      </xdr:nvSpPr>
      <xdr:spPr>
        <a:xfrm>
          <a:off x="76200" y="8047990"/>
          <a:ext cx="5676900" cy="76200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Vingt sept mille </a:t>
          </a:r>
          <a:r>
            <a:rPr lang="fr-FR" sz="1100" b="1"/>
            <a:t>DIRHAMS ET 00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49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29575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49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029575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49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029575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49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29575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33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49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29575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33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49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8029575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33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9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8029575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33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49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8029575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49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49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2026/048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4900-000019000000}"/>
            </a:ext>
          </a:extLst>
        </xdr:cNvPr>
        <xdr:cNvSpPr/>
      </xdr:nvSpPr>
      <xdr:spPr>
        <a:xfrm>
          <a:off x="3009900" y="1323975"/>
          <a:ext cx="2720975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29</xdr:row>
      <xdr:rowOff>28574</xdr:rowOff>
    </xdr:from>
    <xdr:to>
      <xdr:col>5</xdr:col>
      <xdr:colOff>1495424</xdr:colOff>
      <xdr:row>30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4900-00001A000000}"/>
            </a:ext>
          </a:extLst>
        </xdr:cNvPr>
        <xdr:cNvSpPr/>
      </xdr:nvSpPr>
      <xdr:spPr>
        <a:xfrm>
          <a:off x="3752215" y="7276465"/>
          <a:ext cx="204787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29</xdr:row>
      <xdr:rowOff>19050</xdr:rowOff>
    </xdr:from>
    <xdr:to>
      <xdr:col>3</xdr:col>
      <xdr:colOff>733425</xdr:colOff>
      <xdr:row>29</xdr:row>
      <xdr:rowOff>333375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4900-00001B000000}"/>
            </a:ext>
          </a:extLst>
        </xdr:cNvPr>
        <xdr:cNvSpPr/>
      </xdr:nvSpPr>
      <xdr:spPr>
        <a:xfrm>
          <a:off x="3019425" y="7267575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29</xdr:row>
      <xdr:rowOff>28575</xdr:rowOff>
    </xdr:from>
    <xdr:to>
      <xdr:col>2</xdr:col>
      <xdr:colOff>2143125</xdr:colOff>
      <xdr:row>29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4900-00001C000000}"/>
            </a:ext>
          </a:extLst>
        </xdr:cNvPr>
        <xdr:cNvSpPr/>
      </xdr:nvSpPr>
      <xdr:spPr>
        <a:xfrm>
          <a:off x="142875" y="7277100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A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77226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4A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4A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4A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4A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15/07/2026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4A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2026/048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4A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4A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4A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4A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4A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4A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4A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4A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4A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58202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4A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49630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4A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48677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4A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48677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4A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100348870</a:t>
          </a:r>
        </a:p>
      </xdr:txBody>
    </xdr:sp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30</xdr:row>
      <xdr:rowOff>0</xdr:rowOff>
    </xdr:from>
    <xdr:ext cx="4631" cy="4191"/>
    <xdr:pic>
      <xdr:nvPicPr>
        <xdr:cNvPr id="26" name="Picture 2">
          <a:extLst>
            <a:ext uri="{FF2B5EF4-FFF2-40B4-BE49-F238E27FC236}">
              <a16:creationId xmlns:a16="http://schemas.microsoft.com/office/drawing/2014/main" id="{00000000-0008-0000-4B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19125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27" name="Rectangle à coins arrondis 29">
          <a:extLst>
            <a:ext uri="{FF2B5EF4-FFF2-40B4-BE49-F238E27FC236}">
              <a16:creationId xmlns:a16="http://schemas.microsoft.com/office/drawing/2014/main" id="{00000000-0008-0000-4B00-00001B000000}"/>
            </a:ext>
          </a:extLst>
        </xdr:cNvPr>
        <xdr:cNvSpPr/>
      </xdr:nvSpPr>
      <xdr:spPr>
        <a:xfrm>
          <a:off x="2981325" y="19050"/>
          <a:ext cx="2657475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28" name="Rectangle à coins arrondis 30">
          <a:extLst>
            <a:ext uri="{FF2B5EF4-FFF2-40B4-BE49-F238E27FC236}">
              <a16:creationId xmlns:a16="http://schemas.microsoft.com/office/drawing/2014/main" id="{00000000-0008-0000-4B00-00001C000000}"/>
            </a:ext>
          </a:extLst>
        </xdr:cNvPr>
        <xdr:cNvSpPr/>
      </xdr:nvSpPr>
      <xdr:spPr>
        <a:xfrm>
          <a:off x="3019425" y="1581150"/>
          <a:ext cx="26193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29" name="Rectangle à coins arrondis 31">
          <a:extLst>
            <a:ext uri="{FF2B5EF4-FFF2-40B4-BE49-F238E27FC236}">
              <a16:creationId xmlns:a16="http://schemas.microsoft.com/office/drawing/2014/main" id="{00000000-0008-0000-4B00-00001D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30" name="ZoneTexte 29">
          <a:extLst>
            <a:ext uri="{FF2B5EF4-FFF2-40B4-BE49-F238E27FC236}">
              <a16:creationId xmlns:a16="http://schemas.microsoft.com/office/drawing/2014/main" id="{00000000-0008-0000-4B00-00001E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/04/2026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1276350</xdr:colOff>
      <xdr:row>6</xdr:row>
      <xdr:rowOff>38100</xdr:rowOff>
    </xdr:to>
    <xdr:sp macro="" textlink="">
      <xdr:nvSpPr>
        <xdr:cNvPr id="31" name="ZoneTexte 30">
          <a:extLst>
            <a:ext uri="{FF2B5EF4-FFF2-40B4-BE49-F238E27FC236}">
              <a16:creationId xmlns:a16="http://schemas.microsoft.com/office/drawing/2014/main" id="{00000000-0008-0000-4B00-00001F000000}"/>
            </a:ext>
          </a:extLst>
        </xdr:cNvPr>
        <xdr:cNvSpPr txBox="1"/>
      </xdr:nvSpPr>
      <xdr:spPr>
        <a:xfrm>
          <a:off x="4532630" y="923925"/>
          <a:ext cx="1049020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2026/017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2" name="Rectangle à coins arrondis 34">
          <a:extLst>
            <a:ext uri="{FF2B5EF4-FFF2-40B4-BE49-F238E27FC236}">
              <a16:creationId xmlns:a16="http://schemas.microsoft.com/office/drawing/2014/main" id="{00000000-0008-0000-4B00-000020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3" name="Rectangle à coins arrondis 35">
          <a:extLst>
            <a:ext uri="{FF2B5EF4-FFF2-40B4-BE49-F238E27FC236}">
              <a16:creationId xmlns:a16="http://schemas.microsoft.com/office/drawing/2014/main" id="{00000000-0008-0000-4B00-000021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4" name="Rectangle à coins arrondis 36">
          <a:extLst>
            <a:ext uri="{FF2B5EF4-FFF2-40B4-BE49-F238E27FC236}">
              <a16:creationId xmlns:a16="http://schemas.microsoft.com/office/drawing/2014/main" id="{00000000-0008-0000-4B00-000022000000}"/>
            </a:ext>
          </a:extLst>
        </xdr:cNvPr>
        <xdr:cNvSpPr/>
      </xdr:nvSpPr>
      <xdr:spPr>
        <a:xfrm>
          <a:off x="3829050" y="2990850"/>
          <a:ext cx="18097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5" name="Rectangle à coins arrondis 37">
          <a:extLst>
            <a:ext uri="{FF2B5EF4-FFF2-40B4-BE49-F238E27FC236}">
              <a16:creationId xmlns:a16="http://schemas.microsoft.com/office/drawing/2014/main" id="{00000000-0008-0000-4B00-000023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6" name="Rectangle à coins arrondis 38">
          <a:extLst>
            <a:ext uri="{FF2B5EF4-FFF2-40B4-BE49-F238E27FC236}">
              <a16:creationId xmlns:a16="http://schemas.microsoft.com/office/drawing/2014/main" id="{00000000-0008-0000-4B00-000024000000}"/>
            </a:ext>
          </a:extLst>
        </xdr:cNvPr>
        <xdr:cNvSpPr/>
      </xdr:nvSpPr>
      <xdr:spPr>
        <a:xfrm>
          <a:off x="3819525" y="2686050"/>
          <a:ext cx="181927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37" name="Rectangle à coins arrondis 39">
          <a:extLst>
            <a:ext uri="{FF2B5EF4-FFF2-40B4-BE49-F238E27FC236}">
              <a16:creationId xmlns:a16="http://schemas.microsoft.com/office/drawing/2014/main" id="{00000000-0008-0000-4B00-000025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9524</xdr:colOff>
      <xdr:row>36</xdr:row>
      <xdr:rowOff>133350</xdr:rowOff>
    </xdr:from>
    <xdr:to>
      <xdr:col>5</xdr:col>
      <xdr:colOff>1295400</xdr:colOff>
      <xdr:row>37</xdr:row>
      <xdr:rowOff>352424</xdr:rowOff>
    </xdr:to>
    <xdr:sp macro="" textlink="">
      <xdr:nvSpPr>
        <xdr:cNvPr id="38" name="Rectangle à coins arrondis 40">
          <a:extLst>
            <a:ext uri="{FF2B5EF4-FFF2-40B4-BE49-F238E27FC236}">
              <a16:creationId xmlns:a16="http://schemas.microsoft.com/office/drawing/2014/main" id="{00000000-0008-0000-4B00-000026000000}"/>
            </a:ext>
          </a:extLst>
        </xdr:cNvPr>
        <xdr:cNvSpPr/>
      </xdr:nvSpPr>
      <xdr:spPr>
        <a:xfrm>
          <a:off x="132715" y="7534275"/>
          <a:ext cx="5467985" cy="69469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Cent vingt et un mille neuf cent quarante   </a:t>
          </a:r>
          <a:r>
            <a:rPr lang="fr-FR" sz="1100" b="1"/>
            <a:t>DIRHAMS ET 32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29</xdr:row>
      <xdr:rowOff>0</xdr:rowOff>
    </xdr:from>
    <xdr:ext cx="4741" cy="2497"/>
    <xdr:pic>
      <xdr:nvPicPr>
        <xdr:cNvPr id="39" name="Picture 2">
          <a:extLst>
            <a:ext uri="{FF2B5EF4-FFF2-40B4-BE49-F238E27FC236}">
              <a16:creationId xmlns:a16="http://schemas.microsoft.com/office/drawing/2014/main" id="{00000000-0008-0000-4B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0007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29</xdr:row>
      <xdr:rowOff>0</xdr:rowOff>
    </xdr:from>
    <xdr:ext cx="974" cy="1354"/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4B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60007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29</xdr:row>
      <xdr:rowOff>0</xdr:rowOff>
    </xdr:from>
    <xdr:ext cx="4022" cy="1354"/>
    <xdr:pic>
      <xdr:nvPicPr>
        <xdr:cNvPr id="41" name="Picture 2">
          <a:extLst>
            <a:ext uri="{FF2B5EF4-FFF2-40B4-BE49-F238E27FC236}">
              <a16:creationId xmlns:a16="http://schemas.microsoft.com/office/drawing/2014/main" id="{00000000-0008-0000-4B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60007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29</xdr:row>
      <xdr:rowOff>0</xdr:rowOff>
    </xdr:from>
    <xdr:ext cx="2287" cy="0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4B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0007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29</xdr:row>
      <xdr:rowOff>0</xdr:rowOff>
    </xdr:from>
    <xdr:ext cx="4741" cy="2497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4B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0007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29</xdr:row>
      <xdr:rowOff>0</xdr:rowOff>
    </xdr:from>
    <xdr:ext cx="974" cy="1354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4B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60007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29</xdr:row>
      <xdr:rowOff>0</xdr:rowOff>
    </xdr:from>
    <xdr:ext cx="4022" cy="1354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4B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60007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29</xdr:row>
      <xdr:rowOff>0</xdr:rowOff>
    </xdr:from>
    <xdr:ext cx="2287" cy="0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4B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0007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47" name="Rectangle à coins arrondis 49">
          <a:extLst>
            <a:ext uri="{FF2B5EF4-FFF2-40B4-BE49-F238E27FC236}">
              <a16:creationId xmlns:a16="http://schemas.microsoft.com/office/drawing/2014/main" id="{00000000-0008-0000-4B00-00002F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48" name="Rectangle à coins arrondis 50">
          <a:extLst>
            <a:ext uri="{FF2B5EF4-FFF2-40B4-BE49-F238E27FC236}">
              <a16:creationId xmlns:a16="http://schemas.microsoft.com/office/drawing/2014/main" id="{00000000-0008-0000-4B00-000030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2026/017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49" name="Rectangle à coins arrondis 51">
          <a:extLst>
            <a:ext uri="{FF2B5EF4-FFF2-40B4-BE49-F238E27FC236}">
              <a16:creationId xmlns:a16="http://schemas.microsoft.com/office/drawing/2014/main" id="{00000000-0008-0000-4B00-000031000000}"/>
            </a:ext>
          </a:extLst>
        </xdr:cNvPr>
        <xdr:cNvSpPr/>
      </xdr:nvSpPr>
      <xdr:spPr>
        <a:xfrm>
          <a:off x="3009900" y="1323975"/>
          <a:ext cx="2628900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C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39126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22" name="Rectangle à coins arrondis 20">
          <a:extLst>
            <a:ext uri="{FF2B5EF4-FFF2-40B4-BE49-F238E27FC236}">
              <a16:creationId xmlns:a16="http://schemas.microsoft.com/office/drawing/2014/main" id="{00000000-0008-0000-4C00-000016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23" name="Rectangle à coins arrondis 21">
          <a:extLst>
            <a:ext uri="{FF2B5EF4-FFF2-40B4-BE49-F238E27FC236}">
              <a16:creationId xmlns:a16="http://schemas.microsoft.com/office/drawing/2014/main" id="{00000000-0008-0000-4C00-000017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24" name="Rectangle à coins arrondis 22">
          <a:extLst>
            <a:ext uri="{FF2B5EF4-FFF2-40B4-BE49-F238E27FC236}">
              <a16:creationId xmlns:a16="http://schemas.microsoft.com/office/drawing/2014/main" id="{00000000-0008-0000-4C00-000018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00000000-0008-0000-4C00-000019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10/04/2026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00000000-0008-0000-4C00-00001A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2026/017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27" name="Rectangle à coins arrondis 25">
          <a:extLst>
            <a:ext uri="{FF2B5EF4-FFF2-40B4-BE49-F238E27FC236}">
              <a16:creationId xmlns:a16="http://schemas.microsoft.com/office/drawing/2014/main" id="{00000000-0008-0000-4C00-00001B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28" name="Rectangle à coins arrondis 26">
          <a:extLst>
            <a:ext uri="{FF2B5EF4-FFF2-40B4-BE49-F238E27FC236}">
              <a16:creationId xmlns:a16="http://schemas.microsoft.com/office/drawing/2014/main" id="{00000000-0008-0000-4C00-00001C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29" name="Rectangle à coins arrondis 27">
          <a:extLst>
            <a:ext uri="{FF2B5EF4-FFF2-40B4-BE49-F238E27FC236}">
              <a16:creationId xmlns:a16="http://schemas.microsoft.com/office/drawing/2014/main" id="{00000000-0008-0000-4C00-00001D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30" name="Rectangle à coins arrondis 28">
          <a:extLst>
            <a:ext uri="{FF2B5EF4-FFF2-40B4-BE49-F238E27FC236}">
              <a16:creationId xmlns:a16="http://schemas.microsoft.com/office/drawing/2014/main" id="{00000000-0008-0000-4C00-00001E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31" name="Rectangle à coins arrondis 29">
          <a:extLst>
            <a:ext uri="{FF2B5EF4-FFF2-40B4-BE49-F238E27FC236}">
              <a16:creationId xmlns:a16="http://schemas.microsoft.com/office/drawing/2014/main" id="{00000000-0008-0000-4C00-00001F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32" name="Rectangle à coins arrondis 30">
          <a:extLst>
            <a:ext uri="{FF2B5EF4-FFF2-40B4-BE49-F238E27FC236}">
              <a16:creationId xmlns:a16="http://schemas.microsoft.com/office/drawing/2014/main" id="{00000000-0008-0000-4C00-000020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33" name="Rectangle à coins arrondis 31">
          <a:extLst>
            <a:ext uri="{FF2B5EF4-FFF2-40B4-BE49-F238E27FC236}">
              <a16:creationId xmlns:a16="http://schemas.microsoft.com/office/drawing/2014/main" id="{00000000-0008-0000-4C00-000021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34" name="Rectangle à coins arrondis 32">
          <a:extLst>
            <a:ext uri="{FF2B5EF4-FFF2-40B4-BE49-F238E27FC236}">
              <a16:creationId xmlns:a16="http://schemas.microsoft.com/office/drawing/2014/main" id="{00000000-0008-0000-4C00-000022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4C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20102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4C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11530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37" name="Picture 2">
          <a:extLst>
            <a:ext uri="{FF2B5EF4-FFF2-40B4-BE49-F238E27FC236}">
              <a16:creationId xmlns:a16="http://schemas.microsoft.com/office/drawing/2014/main" id="{00000000-0008-0000-4C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10577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38" name="Picture 2">
          <a:extLst>
            <a:ext uri="{FF2B5EF4-FFF2-40B4-BE49-F238E27FC236}">
              <a16:creationId xmlns:a16="http://schemas.microsoft.com/office/drawing/2014/main" id="{00000000-0008-0000-4C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10577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39" name="Rectangle à coins arrondis 35">
          <a:extLst>
            <a:ext uri="{FF2B5EF4-FFF2-40B4-BE49-F238E27FC236}">
              <a16:creationId xmlns:a16="http://schemas.microsoft.com/office/drawing/2014/main" id="{00000000-0008-0000-4C00-000027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30</xdr:row>
      <xdr:rowOff>0</xdr:rowOff>
    </xdr:from>
    <xdr:ext cx="4631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95325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" name="Rectangle à coins arrondis 29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SpPr/>
      </xdr:nvSpPr>
      <xdr:spPr>
        <a:xfrm>
          <a:off x="2981325" y="19050"/>
          <a:ext cx="2657475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4" name="Rectangle à coins arrondis 30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SpPr/>
      </xdr:nvSpPr>
      <xdr:spPr>
        <a:xfrm>
          <a:off x="3019425" y="1581150"/>
          <a:ext cx="26193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5" name="Rectangle à coins arrondis 31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/04/2026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SpPr txBox="1"/>
      </xdr:nvSpPr>
      <xdr:spPr>
        <a:xfrm>
          <a:off x="4532630" y="923925"/>
          <a:ext cx="1106170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2026/018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8" name="Rectangle à coins arrondis 34">
          <a:extLst>
            <a:ext uri="{FF2B5EF4-FFF2-40B4-BE49-F238E27FC236}">
              <a16:creationId xmlns:a16="http://schemas.microsoft.com/office/drawing/2014/main" id="{00000000-0008-0000-4D00-000008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9" name="Rectangle à coins arrondis 35">
          <a:extLst>
            <a:ext uri="{FF2B5EF4-FFF2-40B4-BE49-F238E27FC236}">
              <a16:creationId xmlns:a16="http://schemas.microsoft.com/office/drawing/2014/main" id="{00000000-0008-0000-4D00-000009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10" name="Rectangle à coins arrondis 36">
          <a:extLst>
            <a:ext uri="{FF2B5EF4-FFF2-40B4-BE49-F238E27FC236}">
              <a16:creationId xmlns:a16="http://schemas.microsoft.com/office/drawing/2014/main" id="{00000000-0008-0000-4D00-00000A000000}"/>
            </a:ext>
          </a:extLst>
        </xdr:cNvPr>
        <xdr:cNvSpPr/>
      </xdr:nvSpPr>
      <xdr:spPr>
        <a:xfrm>
          <a:off x="3829050" y="2990850"/>
          <a:ext cx="18097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11" name="Rectangle à coins arrondis 37">
          <a:extLst>
            <a:ext uri="{FF2B5EF4-FFF2-40B4-BE49-F238E27FC236}">
              <a16:creationId xmlns:a16="http://schemas.microsoft.com/office/drawing/2014/main" id="{00000000-0008-0000-4D00-00000B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12" name="Rectangle à coins arrondis 38">
          <a:extLst>
            <a:ext uri="{FF2B5EF4-FFF2-40B4-BE49-F238E27FC236}">
              <a16:creationId xmlns:a16="http://schemas.microsoft.com/office/drawing/2014/main" id="{00000000-0008-0000-4D00-00000C000000}"/>
            </a:ext>
          </a:extLst>
        </xdr:cNvPr>
        <xdr:cNvSpPr/>
      </xdr:nvSpPr>
      <xdr:spPr>
        <a:xfrm>
          <a:off x="3819525" y="2686050"/>
          <a:ext cx="181927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13" name="Rectangle à coins arrondis 39">
          <a:extLst>
            <a:ext uri="{FF2B5EF4-FFF2-40B4-BE49-F238E27FC236}">
              <a16:creationId xmlns:a16="http://schemas.microsoft.com/office/drawing/2014/main" id="{00000000-0008-0000-4D00-00000D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9524</xdr:colOff>
      <xdr:row>36</xdr:row>
      <xdr:rowOff>133350</xdr:rowOff>
    </xdr:from>
    <xdr:to>
      <xdr:col>5</xdr:col>
      <xdr:colOff>1295400</xdr:colOff>
      <xdr:row>37</xdr:row>
      <xdr:rowOff>352424</xdr:rowOff>
    </xdr:to>
    <xdr:sp macro="" textlink="">
      <xdr:nvSpPr>
        <xdr:cNvPr id="14" name="Rectangle à coins arrondis 40">
          <a:extLst>
            <a:ext uri="{FF2B5EF4-FFF2-40B4-BE49-F238E27FC236}">
              <a16:creationId xmlns:a16="http://schemas.microsoft.com/office/drawing/2014/main" id="{00000000-0008-0000-4D00-00000E000000}"/>
            </a:ext>
          </a:extLst>
        </xdr:cNvPr>
        <xdr:cNvSpPr/>
      </xdr:nvSpPr>
      <xdr:spPr>
        <a:xfrm>
          <a:off x="132715" y="8791575"/>
          <a:ext cx="5467985" cy="69469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Quatre vingt quinze mille cinq cent trente deux  </a:t>
          </a:r>
          <a:r>
            <a:rPr lang="fr-FR" sz="1100" b="1"/>
            <a:t>DIRHAMS ET 47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29</xdr:row>
      <xdr:rowOff>0</xdr:rowOff>
    </xdr:from>
    <xdr:ext cx="4741" cy="2497"/>
    <xdr:pic>
      <xdr:nvPicPr>
        <xdr:cNvPr id="15" name="Picture 2">
          <a:extLst>
            <a:ext uri="{FF2B5EF4-FFF2-40B4-BE49-F238E27FC236}">
              <a16:creationId xmlns:a16="http://schemas.microsoft.com/office/drawing/2014/main" id="{00000000-0008-0000-4D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29</xdr:row>
      <xdr:rowOff>0</xdr:rowOff>
    </xdr:from>
    <xdr:ext cx="974" cy="1354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4D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67246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29</xdr:row>
      <xdr:rowOff>0</xdr:rowOff>
    </xdr:from>
    <xdr:ext cx="4022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4D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67246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29</xdr:row>
      <xdr:rowOff>0</xdr:rowOff>
    </xdr:from>
    <xdr:ext cx="2287" cy="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4D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29</xdr:row>
      <xdr:rowOff>0</xdr:rowOff>
    </xdr:from>
    <xdr:ext cx="4741" cy="2497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4D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29</xdr:row>
      <xdr:rowOff>0</xdr:rowOff>
    </xdr:from>
    <xdr:ext cx="974" cy="1354"/>
    <xdr:pic>
      <xdr:nvPicPr>
        <xdr:cNvPr id="20" name="Picture 2">
          <a:extLst>
            <a:ext uri="{FF2B5EF4-FFF2-40B4-BE49-F238E27FC236}">
              <a16:creationId xmlns:a16="http://schemas.microsoft.com/office/drawing/2014/main" id="{00000000-0008-0000-4D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67246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29</xdr:row>
      <xdr:rowOff>0</xdr:rowOff>
    </xdr:from>
    <xdr:ext cx="4022" cy="1354"/>
    <xdr:pic>
      <xdr:nvPicPr>
        <xdr:cNvPr id="21" name="Picture 2">
          <a:extLst>
            <a:ext uri="{FF2B5EF4-FFF2-40B4-BE49-F238E27FC236}">
              <a16:creationId xmlns:a16="http://schemas.microsoft.com/office/drawing/2014/main" id="{00000000-0008-0000-4D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67246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29</xdr:row>
      <xdr:rowOff>0</xdr:rowOff>
    </xdr:from>
    <xdr:ext cx="2287" cy="0"/>
    <xdr:pic>
      <xdr:nvPicPr>
        <xdr:cNvPr id="22" name="Picture 2">
          <a:extLst>
            <a:ext uri="{FF2B5EF4-FFF2-40B4-BE49-F238E27FC236}">
              <a16:creationId xmlns:a16="http://schemas.microsoft.com/office/drawing/2014/main" id="{00000000-0008-0000-4D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23" name="Rectangle à coins arrondis 49">
          <a:extLst>
            <a:ext uri="{FF2B5EF4-FFF2-40B4-BE49-F238E27FC236}">
              <a16:creationId xmlns:a16="http://schemas.microsoft.com/office/drawing/2014/main" id="{00000000-0008-0000-4D00-000017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24" name="Rectangle à coins arrondis 50">
          <a:extLst>
            <a:ext uri="{FF2B5EF4-FFF2-40B4-BE49-F238E27FC236}">
              <a16:creationId xmlns:a16="http://schemas.microsoft.com/office/drawing/2014/main" id="{00000000-0008-0000-4D00-000018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2026/018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25" name="Rectangle à coins arrondis 51">
          <a:extLst>
            <a:ext uri="{FF2B5EF4-FFF2-40B4-BE49-F238E27FC236}">
              <a16:creationId xmlns:a16="http://schemas.microsoft.com/office/drawing/2014/main" id="{00000000-0008-0000-4D00-000019000000}"/>
            </a:ext>
          </a:extLst>
        </xdr:cNvPr>
        <xdr:cNvSpPr/>
      </xdr:nvSpPr>
      <xdr:spPr>
        <a:xfrm>
          <a:off x="3009900" y="1323975"/>
          <a:ext cx="2628900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25</xdr:row>
      <xdr:rowOff>28574</xdr:rowOff>
    </xdr:from>
    <xdr:to>
      <xdr:col>5</xdr:col>
      <xdr:colOff>1495424</xdr:colOff>
      <xdr:row>26</xdr:row>
      <xdr:rowOff>28575</xdr:rowOff>
    </xdr:to>
    <xdr:sp macro="" textlink="">
      <xdr:nvSpPr>
        <xdr:cNvPr id="26" name="Rectangle à coins arrondis 52">
          <a:extLst>
            <a:ext uri="{FF2B5EF4-FFF2-40B4-BE49-F238E27FC236}">
              <a16:creationId xmlns:a16="http://schemas.microsoft.com/office/drawing/2014/main" id="{00000000-0008-0000-4D00-00001A000000}"/>
            </a:ext>
          </a:extLst>
        </xdr:cNvPr>
        <xdr:cNvSpPr/>
      </xdr:nvSpPr>
      <xdr:spPr>
        <a:xfrm>
          <a:off x="3752215" y="5971540"/>
          <a:ext cx="188658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25</xdr:row>
      <xdr:rowOff>19050</xdr:rowOff>
    </xdr:from>
    <xdr:to>
      <xdr:col>3</xdr:col>
      <xdr:colOff>733425</xdr:colOff>
      <xdr:row>26</xdr:row>
      <xdr:rowOff>0</xdr:rowOff>
    </xdr:to>
    <xdr:sp macro="" textlink="">
      <xdr:nvSpPr>
        <xdr:cNvPr id="27" name="Rectangle à coins arrondis 53">
          <a:extLst>
            <a:ext uri="{FF2B5EF4-FFF2-40B4-BE49-F238E27FC236}">
              <a16:creationId xmlns:a16="http://schemas.microsoft.com/office/drawing/2014/main" id="{00000000-0008-0000-4D00-00001B000000}"/>
            </a:ext>
          </a:extLst>
        </xdr:cNvPr>
        <xdr:cNvSpPr/>
      </xdr:nvSpPr>
      <xdr:spPr>
        <a:xfrm>
          <a:off x="3019425" y="59626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25</xdr:row>
      <xdr:rowOff>28575</xdr:rowOff>
    </xdr:from>
    <xdr:to>
      <xdr:col>2</xdr:col>
      <xdr:colOff>2143125</xdr:colOff>
      <xdr:row>25</xdr:row>
      <xdr:rowOff>342900</xdr:rowOff>
    </xdr:to>
    <xdr:sp macro="" textlink="">
      <xdr:nvSpPr>
        <xdr:cNvPr id="28" name="Rectangle à coins arrondis 54">
          <a:extLst>
            <a:ext uri="{FF2B5EF4-FFF2-40B4-BE49-F238E27FC236}">
              <a16:creationId xmlns:a16="http://schemas.microsoft.com/office/drawing/2014/main" id="{00000000-0008-0000-4D00-00001C000000}"/>
            </a:ext>
          </a:extLst>
        </xdr:cNvPr>
        <xdr:cNvSpPr/>
      </xdr:nvSpPr>
      <xdr:spPr>
        <a:xfrm>
          <a:off x="142875" y="59721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9818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4E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10/04/2026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4E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2026/018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4E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4E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4E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4E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4E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4E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4E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4E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4E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7915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4E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7058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4E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6963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4E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963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4E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904876</xdr:colOff>
      <xdr:row>30</xdr:row>
      <xdr:rowOff>0</xdr:rowOff>
    </xdr:from>
    <xdr:ext cx="4631" cy="4191"/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4F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953250"/>
          <a:ext cx="4445" cy="381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2143125</xdr:colOff>
      <xdr:row>0</xdr:row>
      <xdr:rowOff>19050</xdr:rowOff>
    </xdr:from>
    <xdr:to>
      <xdr:col>5</xdr:col>
      <xdr:colOff>1457325</xdr:colOff>
      <xdr:row>6</xdr:row>
      <xdr:rowOff>76200</xdr:rowOff>
    </xdr:to>
    <xdr:sp macro="" textlink="">
      <xdr:nvSpPr>
        <xdr:cNvPr id="30" name="Rectangle à coins arrondis 29">
          <a:extLst>
            <a:ext uri="{FF2B5EF4-FFF2-40B4-BE49-F238E27FC236}">
              <a16:creationId xmlns:a16="http://schemas.microsoft.com/office/drawing/2014/main" id="{00000000-0008-0000-4F00-00001E000000}"/>
            </a:ext>
          </a:extLst>
        </xdr:cNvPr>
        <xdr:cNvSpPr/>
      </xdr:nvSpPr>
      <xdr:spPr>
        <a:xfrm>
          <a:off x="2981325" y="19050"/>
          <a:ext cx="2657475" cy="1209675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b" upright="1"/>
        <a:lstStyle/>
        <a:p>
          <a:pPr algn="ctr"/>
          <a:r>
            <a:rPr lang="fr-FR" sz="2000" b="1">
              <a:latin typeface="Arial" panose="020B0604020202020204" pitchFamily="7" charset="0"/>
              <a:cs typeface="Arial" panose="020B0604020202020204" pitchFamily="7" charset="0"/>
            </a:rPr>
            <a:t>FACTURE</a:t>
          </a:r>
          <a:r>
            <a:rPr lang="fr-FR" sz="1100" b="1">
              <a:latin typeface="Arial" panose="020B0604020202020204" pitchFamily="7" charset="0"/>
              <a:cs typeface="Arial" panose="020B0604020202020204" pitchFamily="7" charset="0"/>
            </a:rPr>
            <a:t> </a:t>
          </a:r>
        </a:p>
        <a:p>
          <a:pPr algn="ctr"/>
          <a:endParaRPr lang="fr-FR" sz="160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28576</xdr:colOff>
      <xdr:row>8</xdr:row>
      <xdr:rowOff>47625</xdr:rowOff>
    </xdr:from>
    <xdr:to>
      <xdr:col>5</xdr:col>
      <xdr:colOff>1435100</xdr:colOff>
      <xdr:row>13</xdr:row>
      <xdr:rowOff>38100</xdr:rowOff>
    </xdr:to>
    <xdr:sp macro="" textlink="">
      <xdr:nvSpPr>
        <xdr:cNvPr id="31" name="Rectangle à coins arrondis 30">
          <a:extLst>
            <a:ext uri="{FF2B5EF4-FFF2-40B4-BE49-F238E27FC236}">
              <a16:creationId xmlns:a16="http://schemas.microsoft.com/office/drawing/2014/main" id="{00000000-0008-0000-4F00-00001F000000}"/>
            </a:ext>
          </a:extLst>
        </xdr:cNvPr>
        <xdr:cNvSpPr/>
      </xdr:nvSpPr>
      <xdr:spPr>
        <a:xfrm>
          <a:off x="3019425" y="1581150"/>
          <a:ext cx="2619375" cy="94297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fr-FR" sz="1600" b="1"/>
        </a:p>
      </xdr:txBody>
    </xdr:sp>
    <xdr:clientData/>
  </xdr:twoCellAnchor>
  <xdr:twoCellAnchor>
    <xdr:from>
      <xdr:col>1</xdr:col>
      <xdr:colOff>19049</xdr:colOff>
      <xdr:row>6</xdr:row>
      <xdr:rowOff>133350</xdr:rowOff>
    </xdr:from>
    <xdr:to>
      <xdr:col>2</xdr:col>
      <xdr:colOff>2038350</xdr:colOff>
      <xdr:row>13</xdr:row>
      <xdr:rowOff>57150</xdr:rowOff>
    </xdr:to>
    <xdr:sp macro="" textlink="">
      <xdr:nvSpPr>
        <xdr:cNvPr id="32" name="Rectangle à coins arrondis 31">
          <a:extLst>
            <a:ext uri="{FF2B5EF4-FFF2-40B4-BE49-F238E27FC236}">
              <a16:creationId xmlns:a16="http://schemas.microsoft.com/office/drawing/2014/main" id="{00000000-0008-0000-4F00-000020000000}"/>
            </a:ext>
          </a:extLst>
        </xdr:cNvPr>
        <xdr:cNvSpPr/>
      </xdr:nvSpPr>
      <xdr:spPr>
        <a:xfrm>
          <a:off x="142240" y="1285875"/>
          <a:ext cx="2734310" cy="1257300"/>
        </a:xfrm>
        <a:prstGeom prst="roundRect">
          <a:avLst/>
        </a:prstGeom>
        <a:solidFill>
          <a:schemeClr val="bg1">
            <a:lumMod val="95000"/>
          </a:schemeClr>
        </a:solidFill>
        <a:ln w="635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xdr:spPr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3</xdr:col>
      <xdr:colOff>104776</xdr:colOff>
      <xdr:row>4</xdr:row>
      <xdr:rowOff>171450</xdr:rowOff>
    </xdr:from>
    <xdr:to>
      <xdr:col>5</xdr:col>
      <xdr:colOff>157692</xdr:colOff>
      <xdr:row>6</xdr:row>
      <xdr:rowOff>19050</xdr:rowOff>
    </xdr:to>
    <xdr:sp macro="" textlink="">
      <xdr:nvSpPr>
        <xdr:cNvPr id="33" name="ZoneTexte 32">
          <a:extLst>
            <a:ext uri="{FF2B5EF4-FFF2-40B4-BE49-F238E27FC236}">
              <a16:creationId xmlns:a16="http://schemas.microsoft.com/office/drawing/2014/main" id="{00000000-0008-0000-4F00-000021000000}"/>
            </a:ext>
          </a:extLst>
        </xdr:cNvPr>
        <xdr:cNvSpPr txBox="1"/>
      </xdr:nvSpPr>
      <xdr:spPr>
        <a:xfrm>
          <a:off x="3095625" y="933450"/>
          <a:ext cx="1367155" cy="238125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</a:t>
          </a:r>
          <a:r>
            <a:rPr lang="fr-FR" sz="1100" baseline="0">
              <a:solidFill>
                <a:schemeClr val="dk1"/>
              </a:solidFill>
              <a:latin typeface="+mn-lt"/>
              <a:ea typeface="+mn-ea"/>
              <a:cs typeface="+mn-cs"/>
            </a:rPr>
            <a:t> 10</a:t>
          </a:r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/04/2026</a:t>
          </a:r>
          <a:endParaRPr lang="fr-FR"/>
        </a:p>
      </xdr:txBody>
    </xdr:sp>
    <xdr:clientData/>
  </xdr:twoCellAnchor>
  <xdr:twoCellAnchor>
    <xdr:from>
      <xdr:col>5</xdr:col>
      <xdr:colOff>227544</xdr:colOff>
      <xdr:row>4</xdr:row>
      <xdr:rowOff>161925</xdr:rowOff>
    </xdr:from>
    <xdr:to>
      <xdr:col>5</xdr:col>
      <xdr:colOff>1381125</xdr:colOff>
      <xdr:row>6</xdr:row>
      <xdr:rowOff>38100</xdr:rowOff>
    </xdr:to>
    <xdr:sp macro="" textlink="">
      <xdr:nvSpPr>
        <xdr:cNvPr id="34" name="ZoneTexte 33">
          <a:extLst>
            <a:ext uri="{FF2B5EF4-FFF2-40B4-BE49-F238E27FC236}">
              <a16:creationId xmlns:a16="http://schemas.microsoft.com/office/drawing/2014/main" id="{00000000-0008-0000-4F00-000022000000}"/>
            </a:ext>
          </a:extLst>
        </xdr:cNvPr>
        <xdr:cNvSpPr txBox="1"/>
      </xdr:nvSpPr>
      <xdr:spPr>
        <a:xfrm>
          <a:off x="4532630" y="923925"/>
          <a:ext cx="1106170" cy="26670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</a:t>
          </a:r>
          <a:r>
            <a:rPr lang="fr-FR" sz="1100" b="1"/>
            <a:t>2026/019</a:t>
          </a:r>
          <a:endParaRPr lang="fr-FR" sz="1100"/>
        </a:p>
      </xdr:txBody>
    </xdr:sp>
    <xdr:clientData/>
  </xdr:twoCellAnchor>
  <xdr:twoCellAnchor>
    <xdr:from>
      <xdr:col>1</xdr:col>
      <xdr:colOff>0</xdr:colOff>
      <xdr:row>15</xdr:row>
      <xdr:rowOff>95251</xdr:rowOff>
    </xdr:from>
    <xdr:to>
      <xdr:col>2</xdr:col>
      <xdr:colOff>400049</xdr:colOff>
      <xdr:row>16</xdr:row>
      <xdr:rowOff>161925</xdr:rowOff>
    </xdr:to>
    <xdr:sp macro="" textlink="">
      <xdr:nvSpPr>
        <xdr:cNvPr id="35" name="Rectangle à coins arrondis 34">
          <a:extLst>
            <a:ext uri="{FF2B5EF4-FFF2-40B4-BE49-F238E27FC236}">
              <a16:creationId xmlns:a16="http://schemas.microsoft.com/office/drawing/2014/main" id="{00000000-0008-0000-4F00-000023000000}"/>
            </a:ext>
          </a:extLst>
        </xdr:cNvPr>
        <xdr:cNvSpPr/>
      </xdr:nvSpPr>
      <xdr:spPr>
        <a:xfrm>
          <a:off x="123825" y="2962275"/>
          <a:ext cx="1113790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476250</xdr:colOff>
      <xdr:row>15</xdr:row>
      <xdr:rowOff>95251</xdr:rowOff>
    </xdr:from>
    <xdr:to>
      <xdr:col>2</xdr:col>
      <xdr:colOff>1924049</xdr:colOff>
      <xdr:row>16</xdr:row>
      <xdr:rowOff>161925</xdr:rowOff>
    </xdr:to>
    <xdr:sp macro="" textlink="">
      <xdr:nvSpPr>
        <xdr:cNvPr id="36" name="Rectangle à coins arrondis 35">
          <a:extLst>
            <a:ext uri="{FF2B5EF4-FFF2-40B4-BE49-F238E27FC236}">
              <a16:creationId xmlns:a16="http://schemas.microsoft.com/office/drawing/2014/main" id="{00000000-0008-0000-4F00-000024000000}"/>
            </a:ext>
          </a:extLst>
        </xdr:cNvPr>
        <xdr:cNvSpPr/>
      </xdr:nvSpPr>
      <xdr:spPr>
        <a:xfrm>
          <a:off x="1314450" y="2962275"/>
          <a:ext cx="1447165" cy="2571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95250</xdr:colOff>
      <xdr:row>15</xdr:row>
      <xdr:rowOff>123825</xdr:rowOff>
    </xdr:from>
    <xdr:to>
      <xdr:col>5</xdr:col>
      <xdr:colOff>1485900</xdr:colOff>
      <xdr:row>16</xdr:row>
      <xdr:rowOff>171450</xdr:rowOff>
    </xdr:to>
    <xdr:sp macro="" textlink="">
      <xdr:nvSpPr>
        <xdr:cNvPr id="37" name="Rectangle à coins arrondis 36">
          <a:extLst>
            <a:ext uri="{FF2B5EF4-FFF2-40B4-BE49-F238E27FC236}">
              <a16:creationId xmlns:a16="http://schemas.microsoft.com/office/drawing/2014/main" id="{00000000-0008-0000-4F00-000025000000}"/>
            </a:ext>
          </a:extLst>
        </xdr:cNvPr>
        <xdr:cNvSpPr/>
      </xdr:nvSpPr>
      <xdr:spPr>
        <a:xfrm>
          <a:off x="3829050" y="2990850"/>
          <a:ext cx="180975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>
              <a:solidFill>
                <a:schemeClr val="tx1"/>
              </a:solidFill>
            </a:rPr>
            <a:t>60 Jrs</a:t>
          </a:r>
          <a:r>
            <a:rPr lang="fr-FR" sz="900" baseline="0">
              <a:solidFill>
                <a:schemeClr val="tx1"/>
              </a:solidFill>
            </a:rPr>
            <a:t> de la réception de la facture</a:t>
          </a:r>
          <a:endParaRPr lang="fr-FR" sz="9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9525</xdr:colOff>
      <xdr:row>14</xdr:row>
      <xdr:rowOff>9524</xdr:rowOff>
    </xdr:from>
    <xdr:to>
      <xdr:col>2</xdr:col>
      <xdr:colOff>400050</xdr:colOff>
      <xdr:row>15</xdr:row>
      <xdr:rowOff>57149</xdr:rowOff>
    </xdr:to>
    <xdr:sp macro="" textlink="">
      <xdr:nvSpPr>
        <xdr:cNvPr id="38" name="Rectangle à coins arrondis 37">
          <a:extLst>
            <a:ext uri="{FF2B5EF4-FFF2-40B4-BE49-F238E27FC236}">
              <a16:creationId xmlns:a16="http://schemas.microsoft.com/office/drawing/2014/main" id="{00000000-0008-0000-4F00-000026000000}"/>
            </a:ext>
          </a:extLst>
        </xdr:cNvPr>
        <xdr:cNvSpPr/>
      </xdr:nvSpPr>
      <xdr:spPr>
        <a:xfrm>
          <a:off x="133350" y="2685415"/>
          <a:ext cx="1104900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client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85726</xdr:colOff>
      <xdr:row>14</xdr:row>
      <xdr:rowOff>9525</xdr:rowOff>
    </xdr:from>
    <xdr:to>
      <xdr:col>5</xdr:col>
      <xdr:colOff>1466850</xdr:colOff>
      <xdr:row>15</xdr:row>
      <xdr:rowOff>66675</xdr:rowOff>
    </xdr:to>
    <xdr:sp macro="" textlink="">
      <xdr:nvSpPr>
        <xdr:cNvPr id="39" name="Rectangle à coins arrondis 38">
          <a:extLst>
            <a:ext uri="{FF2B5EF4-FFF2-40B4-BE49-F238E27FC236}">
              <a16:creationId xmlns:a16="http://schemas.microsoft.com/office/drawing/2014/main" id="{00000000-0008-0000-4F00-000027000000}"/>
            </a:ext>
          </a:extLst>
        </xdr:cNvPr>
        <xdr:cNvSpPr/>
      </xdr:nvSpPr>
      <xdr:spPr>
        <a:xfrm>
          <a:off x="3819525" y="2686050"/>
          <a:ext cx="181927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Conditions</a:t>
          </a:r>
          <a:r>
            <a:rPr lang="fr-FR" sz="1100" b="1" baseline="0">
              <a:solidFill>
                <a:schemeClr val="tx1"/>
              </a:solidFill>
            </a:rPr>
            <a:t> de </a:t>
          </a:r>
          <a:r>
            <a:rPr lang="fr-FR" sz="1050" b="1" baseline="0">
              <a:solidFill>
                <a:schemeClr val="tx1"/>
              </a:solidFill>
            </a:rPr>
            <a:t>payement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485774</xdr:colOff>
      <xdr:row>14</xdr:row>
      <xdr:rowOff>9526</xdr:rowOff>
    </xdr:from>
    <xdr:to>
      <xdr:col>2</xdr:col>
      <xdr:colOff>1933575</xdr:colOff>
      <xdr:row>15</xdr:row>
      <xdr:rowOff>57150</xdr:rowOff>
    </xdr:to>
    <xdr:sp macro="" textlink="">
      <xdr:nvSpPr>
        <xdr:cNvPr id="40" name="Rectangle à coins arrondis 39">
          <a:extLst>
            <a:ext uri="{FF2B5EF4-FFF2-40B4-BE49-F238E27FC236}">
              <a16:creationId xmlns:a16="http://schemas.microsoft.com/office/drawing/2014/main" id="{00000000-0008-0000-4F00-000028000000}"/>
            </a:ext>
          </a:extLst>
        </xdr:cNvPr>
        <xdr:cNvSpPr/>
      </xdr:nvSpPr>
      <xdr:spPr>
        <a:xfrm>
          <a:off x="1323340" y="2686050"/>
          <a:ext cx="1448435" cy="23812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9524</xdr:colOff>
      <xdr:row>36</xdr:row>
      <xdr:rowOff>133350</xdr:rowOff>
    </xdr:from>
    <xdr:to>
      <xdr:col>5</xdr:col>
      <xdr:colOff>1295400</xdr:colOff>
      <xdr:row>37</xdr:row>
      <xdr:rowOff>352424</xdr:rowOff>
    </xdr:to>
    <xdr:sp macro="" textlink="">
      <xdr:nvSpPr>
        <xdr:cNvPr id="41" name="Rectangle à coins arrondis 40">
          <a:extLst>
            <a:ext uri="{FF2B5EF4-FFF2-40B4-BE49-F238E27FC236}">
              <a16:creationId xmlns:a16="http://schemas.microsoft.com/office/drawing/2014/main" id="{00000000-0008-0000-4F00-000029000000}"/>
            </a:ext>
          </a:extLst>
        </xdr:cNvPr>
        <xdr:cNvSpPr/>
      </xdr:nvSpPr>
      <xdr:spPr>
        <a:xfrm>
          <a:off x="132715" y="8791575"/>
          <a:ext cx="5467985" cy="694690"/>
        </a:xfrm>
        <a:prstGeom prst="round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fr-FR" sz="1100" b="1"/>
        </a:p>
        <a:p>
          <a:pPr algn="l"/>
          <a:r>
            <a:rPr lang="fr-FR" sz="1100" b="1"/>
            <a:t>Arrêtez</a:t>
          </a:r>
          <a:r>
            <a:rPr lang="fr-FR" sz="1100" b="1" baseline="0"/>
            <a:t> la présente facture à la somme de :  Soixante quatorze mille quatre cent quarante six  </a:t>
          </a:r>
          <a:r>
            <a:rPr lang="fr-FR" sz="1100" b="1"/>
            <a:t>DIRHAMS ET 31 CTS .                                                                                                                               </a:t>
          </a:r>
        </a:p>
      </xdr:txBody>
    </xdr:sp>
    <xdr:clientData/>
  </xdr:twoCellAnchor>
  <xdr:oneCellAnchor>
    <xdr:from>
      <xdr:col>5</xdr:col>
      <xdr:colOff>904875</xdr:colOff>
      <xdr:row>29</xdr:row>
      <xdr:rowOff>0</xdr:rowOff>
    </xdr:from>
    <xdr:ext cx="4741" cy="2497"/>
    <xdr:pic>
      <xdr:nvPicPr>
        <xdr:cNvPr id="42" name="Picture 2">
          <a:extLst>
            <a:ext uri="{FF2B5EF4-FFF2-40B4-BE49-F238E27FC236}">
              <a16:creationId xmlns:a16="http://schemas.microsoft.com/office/drawing/2014/main" id="{00000000-0008-0000-4F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29</xdr:row>
      <xdr:rowOff>0</xdr:rowOff>
    </xdr:from>
    <xdr:ext cx="974" cy="1354"/>
    <xdr:pic>
      <xdr:nvPicPr>
        <xdr:cNvPr id="43" name="Picture 2">
          <a:extLst>
            <a:ext uri="{FF2B5EF4-FFF2-40B4-BE49-F238E27FC236}">
              <a16:creationId xmlns:a16="http://schemas.microsoft.com/office/drawing/2014/main" id="{00000000-0008-0000-4F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67246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29</xdr:row>
      <xdr:rowOff>0</xdr:rowOff>
    </xdr:from>
    <xdr:ext cx="4022" cy="1354"/>
    <xdr:pic>
      <xdr:nvPicPr>
        <xdr:cNvPr id="44" name="Picture 2">
          <a:extLst>
            <a:ext uri="{FF2B5EF4-FFF2-40B4-BE49-F238E27FC236}">
              <a16:creationId xmlns:a16="http://schemas.microsoft.com/office/drawing/2014/main" id="{00000000-0008-0000-4F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67246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29</xdr:row>
      <xdr:rowOff>0</xdr:rowOff>
    </xdr:from>
    <xdr:ext cx="2287" cy="0"/>
    <xdr:pic>
      <xdr:nvPicPr>
        <xdr:cNvPr id="45" name="Picture 2">
          <a:extLst>
            <a:ext uri="{FF2B5EF4-FFF2-40B4-BE49-F238E27FC236}">
              <a16:creationId xmlns:a16="http://schemas.microsoft.com/office/drawing/2014/main" id="{00000000-0008-0000-4F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1905" cy="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904875</xdr:colOff>
      <xdr:row>29</xdr:row>
      <xdr:rowOff>0</xdr:rowOff>
    </xdr:from>
    <xdr:ext cx="4741" cy="2497"/>
    <xdr:pic>
      <xdr:nvPicPr>
        <xdr:cNvPr id="46" name="Picture 2">
          <a:extLst>
            <a:ext uri="{FF2B5EF4-FFF2-40B4-BE49-F238E27FC236}">
              <a16:creationId xmlns:a16="http://schemas.microsoft.com/office/drawing/2014/main" id="{00000000-0008-0000-4F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4445" cy="1905"/>
        </a:xfrm>
        <a:prstGeom prst="rect">
          <a:avLst/>
        </a:prstGeom>
        <a:noFill/>
      </xdr:spPr>
    </xdr:pic>
    <xdr:clientData/>
  </xdr:oneCellAnchor>
  <xdr:oneCellAnchor>
    <xdr:from>
      <xdr:col>5</xdr:col>
      <xdr:colOff>895350</xdr:colOff>
      <xdr:row>29</xdr:row>
      <xdr:rowOff>0</xdr:rowOff>
    </xdr:from>
    <xdr:ext cx="974" cy="1354"/>
    <xdr:pic>
      <xdr:nvPicPr>
        <xdr:cNvPr id="47" name="Picture 2">
          <a:extLst>
            <a:ext uri="{FF2B5EF4-FFF2-40B4-BE49-F238E27FC236}">
              <a16:creationId xmlns:a16="http://schemas.microsoft.com/office/drawing/2014/main" id="{00000000-0008-0000-4F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00650" y="6724650"/>
          <a:ext cx="635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914400</xdr:colOff>
      <xdr:row>29</xdr:row>
      <xdr:rowOff>0</xdr:rowOff>
    </xdr:from>
    <xdr:ext cx="4022" cy="1354"/>
    <xdr:pic>
      <xdr:nvPicPr>
        <xdr:cNvPr id="48" name="Picture 2">
          <a:extLst>
            <a:ext uri="{FF2B5EF4-FFF2-40B4-BE49-F238E27FC236}">
              <a16:creationId xmlns:a16="http://schemas.microsoft.com/office/drawing/2014/main" id="{00000000-0008-0000-4F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9700" y="6724650"/>
          <a:ext cx="3810" cy="1270"/>
        </a:xfrm>
        <a:prstGeom prst="rect">
          <a:avLst/>
        </a:prstGeom>
        <a:noFill/>
      </xdr:spPr>
    </xdr:pic>
    <xdr:clientData/>
  </xdr:oneCellAnchor>
  <xdr:oneCellAnchor>
    <xdr:from>
      <xdr:col>5</xdr:col>
      <xdr:colOff>904876</xdr:colOff>
      <xdr:row>29</xdr:row>
      <xdr:rowOff>0</xdr:rowOff>
    </xdr:from>
    <xdr:ext cx="2287" cy="0"/>
    <xdr:pic>
      <xdr:nvPicPr>
        <xdr:cNvPr id="49" name="Picture 2">
          <a:extLst>
            <a:ext uri="{FF2B5EF4-FFF2-40B4-BE49-F238E27FC236}">
              <a16:creationId xmlns:a16="http://schemas.microsoft.com/office/drawing/2014/main" id="{00000000-0008-0000-4F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210175" y="6724650"/>
          <a:ext cx="1905" cy="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2019299</xdr:colOff>
      <xdr:row>14</xdr:row>
      <xdr:rowOff>28575</xdr:rowOff>
    </xdr:from>
    <xdr:to>
      <xdr:col>3</xdr:col>
      <xdr:colOff>704849</xdr:colOff>
      <xdr:row>15</xdr:row>
      <xdr:rowOff>57150</xdr:rowOff>
    </xdr:to>
    <xdr:sp macro="" textlink="">
      <xdr:nvSpPr>
        <xdr:cNvPr id="50" name="Rectangle à coins arrondis 49">
          <a:extLst>
            <a:ext uri="{FF2B5EF4-FFF2-40B4-BE49-F238E27FC236}">
              <a16:creationId xmlns:a16="http://schemas.microsoft.com/office/drawing/2014/main" id="{00000000-0008-0000-4F00-000032000000}"/>
            </a:ext>
          </a:extLst>
        </xdr:cNvPr>
        <xdr:cNvSpPr/>
      </xdr:nvSpPr>
      <xdr:spPr>
        <a:xfrm>
          <a:off x="2856865" y="2705100"/>
          <a:ext cx="838200" cy="2190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BL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2019299</xdr:colOff>
      <xdr:row>15</xdr:row>
      <xdr:rowOff>114301</xdr:rowOff>
    </xdr:from>
    <xdr:to>
      <xdr:col>3</xdr:col>
      <xdr:colOff>695325</xdr:colOff>
      <xdr:row>16</xdr:row>
      <xdr:rowOff>161925</xdr:rowOff>
    </xdr:to>
    <xdr:sp macro="" textlink="">
      <xdr:nvSpPr>
        <xdr:cNvPr id="51" name="Rectangle à coins arrondis 50">
          <a:extLst>
            <a:ext uri="{FF2B5EF4-FFF2-40B4-BE49-F238E27FC236}">
              <a16:creationId xmlns:a16="http://schemas.microsoft.com/office/drawing/2014/main" id="{00000000-0008-0000-4F00-000033000000}"/>
            </a:ext>
          </a:extLst>
        </xdr:cNvPr>
        <xdr:cNvSpPr/>
      </xdr:nvSpPr>
      <xdr:spPr>
        <a:xfrm>
          <a:off x="2856865" y="2981325"/>
          <a:ext cx="829310" cy="23812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0">
              <a:solidFill>
                <a:schemeClr val="tx1"/>
              </a:solidFill>
            </a:rPr>
            <a:t>2026/019</a:t>
          </a:r>
        </a:p>
      </xdr:txBody>
    </xdr:sp>
    <xdr:clientData/>
  </xdr:twoCellAnchor>
  <xdr:twoCellAnchor>
    <xdr:from>
      <xdr:col>3</xdr:col>
      <xdr:colOff>19051</xdr:colOff>
      <xdr:row>6</xdr:row>
      <xdr:rowOff>171451</xdr:rowOff>
    </xdr:from>
    <xdr:to>
      <xdr:col>5</xdr:col>
      <xdr:colOff>1425575</xdr:colOff>
      <xdr:row>13</xdr:row>
      <xdr:rowOff>38101</xdr:rowOff>
    </xdr:to>
    <xdr:sp macro="" textlink="">
      <xdr:nvSpPr>
        <xdr:cNvPr id="52" name="Rectangle à coins arrondis 51">
          <a:extLst>
            <a:ext uri="{FF2B5EF4-FFF2-40B4-BE49-F238E27FC236}">
              <a16:creationId xmlns:a16="http://schemas.microsoft.com/office/drawing/2014/main" id="{00000000-0008-0000-4F00-000034000000}"/>
            </a:ext>
          </a:extLst>
        </xdr:cNvPr>
        <xdr:cNvSpPr/>
      </xdr:nvSpPr>
      <xdr:spPr>
        <a:xfrm>
          <a:off x="3009900" y="1323975"/>
          <a:ext cx="2628900" cy="1200150"/>
        </a:xfrm>
        <a:prstGeom prst="round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400" b="1" baseline="0"/>
            <a:t>ICE: 001531179000052</a:t>
          </a:r>
        </a:p>
      </xdr:txBody>
    </xdr:sp>
    <xdr:clientData/>
  </xdr:twoCellAnchor>
  <xdr:twoCellAnchor>
    <xdr:from>
      <xdr:col>4</xdr:col>
      <xdr:colOff>19049</xdr:colOff>
      <xdr:row>25</xdr:row>
      <xdr:rowOff>28574</xdr:rowOff>
    </xdr:from>
    <xdr:to>
      <xdr:col>5</xdr:col>
      <xdr:colOff>1495424</xdr:colOff>
      <xdr:row>26</xdr:row>
      <xdr:rowOff>28575</xdr:rowOff>
    </xdr:to>
    <xdr:sp macro="" textlink="">
      <xdr:nvSpPr>
        <xdr:cNvPr id="53" name="Rectangle à coins arrondis 52">
          <a:extLst>
            <a:ext uri="{FF2B5EF4-FFF2-40B4-BE49-F238E27FC236}">
              <a16:creationId xmlns:a16="http://schemas.microsoft.com/office/drawing/2014/main" id="{00000000-0008-0000-4F00-000035000000}"/>
            </a:ext>
          </a:extLst>
        </xdr:cNvPr>
        <xdr:cNvSpPr/>
      </xdr:nvSpPr>
      <xdr:spPr>
        <a:xfrm>
          <a:off x="3752215" y="5971540"/>
          <a:ext cx="1886585" cy="20066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Total TTC en DHS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28575</xdr:colOff>
      <xdr:row>25</xdr:row>
      <xdr:rowOff>19050</xdr:rowOff>
    </xdr:from>
    <xdr:to>
      <xdr:col>3</xdr:col>
      <xdr:colOff>733425</xdr:colOff>
      <xdr:row>26</xdr:row>
      <xdr:rowOff>0</xdr:rowOff>
    </xdr:to>
    <xdr:sp macro="" textlink="">
      <xdr:nvSpPr>
        <xdr:cNvPr id="54" name="Rectangle à coins arrondis 53">
          <a:extLst>
            <a:ext uri="{FF2B5EF4-FFF2-40B4-BE49-F238E27FC236}">
              <a16:creationId xmlns:a16="http://schemas.microsoft.com/office/drawing/2014/main" id="{00000000-0008-0000-4F00-000036000000}"/>
            </a:ext>
          </a:extLst>
        </xdr:cNvPr>
        <xdr:cNvSpPr/>
      </xdr:nvSpPr>
      <xdr:spPr>
        <a:xfrm>
          <a:off x="3019425" y="5962650"/>
          <a:ext cx="704850" cy="1809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50" b="1" baseline="0">
              <a:solidFill>
                <a:schemeClr val="tx1"/>
              </a:solidFill>
            </a:rPr>
            <a:t>TVA 20%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19050</xdr:colOff>
      <xdr:row>25</xdr:row>
      <xdr:rowOff>28575</xdr:rowOff>
    </xdr:from>
    <xdr:to>
      <xdr:col>2</xdr:col>
      <xdr:colOff>2143125</xdr:colOff>
      <xdr:row>25</xdr:row>
      <xdr:rowOff>342900</xdr:rowOff>
    </xdr:to>
    <xdr:sp macro="" textlink="">
      <xdr:nvSpPr>
        <xdr:cNvPr id="55" name="Rectangle à coins arrondis 54">
          <a:extLst>
            <a:ext uri="{FF2B5EF4-FFF2-40B4-BE49-F238E27FC236}">
              <a16:creationId xmlns:a16="http://schemas.microsoft.com/office/drawing/2014/main" id="{00000000-0008-0000-4F00-000037000000}"/>
            </a:ext>
          </a:extLst>
        </xdr:cNvPr>
        <xdr:cNvSpPr/>
      </xdr:nvSpPr>
      <xdr:spPr>
        <a:xfrm>
          <a:off x="142875" y="5972175"/>
          <a:ext cx="2838450" cy="1714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Total</a:t>
          </a:r>
          <a:r>
            <a:rPr lang="fr-FR" sz="1100" b="1" baseline="0">
              <a:solidFill>
                <a:schemeClr val="tx1"/>
              </a:solidFill>
            </a:rPr>
            <a:t> HT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904876</xdr:colOff>
      <xdr:row>45</xdr:row>
      <xdr:rowOff>161924</xdr:rowOff>
    </xdr:from>
    <xdr:ext cx="4513" cy="4191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5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11981815"/>
          <a:ext cx="4445" cy="4445"/>
        </a:xfrm>
        <a:prstGeom prst="rect">
          <a:avLst/>
        </a:prstGeom>
        <a:noFill/>
      </xdr:spPr>
    </xdr:pic>
    <xdr:clientData/>
  </xdr:oneCellAnchor>
  <xdr:twoCellAnchor>
    <xdr:from>
      <xdr:col>2</xdr:col>
      <xdr:colOff>1971675</xdr:colOff>
      <xdr:row>0</xdr:row>
      <xdr:rowOff>85725</xdr:rowOff>
    </xdr:from>
    <xdr:to>
      <xdr:col>4</xdr:col>
      <xdr:colOff>1314451</xdr:colOff>
      <xdr:row>7</xdr:row>
      <xdr:rowOff>161925</xdr:rowOff>
    </xdr:to>
    <xdr:sp macro="" textlink="">
      <xdr:nvSpPr>
        <xdr:cNvPr id="3" name="Rectangle à coins arrondis 20">
          <a:extLst>
            <a:ext uri="{FF2B5EF4-FFF2-40B4-BE49-F238E27FC236}">
              <a16:creationId xmlns:a16="http://schemas.microsoft.com/office/drawing/2014/main" id="{00000000-0008-0000-5000-000003000000}"/>
            </a:ext>
          </a:extLst>
        </xdr:cNvPr>
        <xdr:cNvSpPr/>
      </xdr:nvSpPr>
      <xdr:spPr>
        <a:xfrm>
          <a:off x="2819400" y="85725"/>
          <a:ext cx="2476500" cy="1409700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pPr algn="ctr"/>
          <a:r>
            <a:rPr lang="fr-FR" sz="1800" b="1">
              <a:latin typeface="Arial" panose="020B0604020202020204" pitchFamily="7" charset="0"/>
              <a:cs typeface="Arial" panose="020B0604020202020204" pitchFamily="7" charset="0"/>
            </a:rPr>
            <a:t>BON</a:t>
          </a:r>
          <a:r>
            <a:rPr lang="fr-FR" sz="1800" b="1" baseline="0">
              <a:latin typeface="Arial" panose="020B0604020202020204" pitchFamily="7" charset="0"/>
              <a:cs typeface="Arial" panose="020B0604020202020204" pitchFamily="7" charset="0"/>
            </a:rPr>
            <a:t> DE LIVRAISON</a:t>
          </a:r>
          <a:endParaRPr lang="fr-FR" sz="1050" b="1">
            <a:latin typeface="Arial" panose="020B0604020202020204" pitchFamily="7" charset="0"/>
            <a:cs typeface="Arial" panose="020B0604020202020204" pitchFamily="7" charset="0"/>
          </a:endParaRPr>
        </a:p>
        <a:p>
          <a:pPr algn="ctr"/>
          <a:endParaRPr lang="fr-FR" sz="14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2000250</xdr:colOff>
      <xdr:row>8</xdr:row>
      <xdr:rowOff>104776</xdr:rowOff>
    </xdr:from>
    <xdr:to>
      <xdr:col>4</xdr:col>
      <xdr:colOff>1314451</xdr:colOff>
      <xdr:row>15</xdr:row>
      <xdr:rowOff>171450</xdr:rowOff>
    </xdr:to>
    <xdr:sp macro="" textlink="">
      <xdr:nvSpPr>
        <xdr:cNvPr id="4" name="Rectangle à coins arrondis 21">
          <a:extLst>
            <a:ext uri="{FF2B5EF4-FFF2-40B4-BE49-F238E27FC236}">
              <a16:creationId xmlns:a16="http://schemas.microsoft.com/office/drawing/2014/main" id="{00000000-0008-0000-5000-000004000000}"/>
            </a:ext>
          </a:extLst>
        </xdr:cNvPr>
        <xdr:cNvSpPr/>
      </xdr:nvSpPr>
      <xdr:spPr>
        <a:xfrm>
          <a:off x="2847975" y="1628775"/>
          <a:ext cx="2447925" cy="14001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fr-FR" sz="2000" b="1" baseline="0"/>
            <a:t>MARJANE MARKET</a:t>
          </a:r>
        </a:p>
        <a:p>
          <a:pPr algn="ctr"/>
          <a:r>
            <a:rPr lang="fr-FR" sz="1200" b="1" baseline="0"/>
            <a:t>ICE: 001531179000052</a:t>
          </a:r>
          <a:endParaRPr lang="fr-FR" sz="1200" b="1"/>
        </a:p>
      </xdr:txBody>
    </xdr:sp>
    <xdr:clientData/>
  </xdr:twoCellAnchor>
  <xdr:twoCellAnchor>
    <xdr:from>
      <xdr:col>1</xdr:col>
      <xdr:colOff>19049</xdr:colOff>
      <xdr:row>8</xdr:row>
      <xdr:rowOff>95249</xdr:rowOff>
    </xdr:from>
    <xdr:to>
      <xdr:col>2</xdr:col>
      <xdr:colOff>1733550</xdr:colOff>
      <xdr:row>15</xdr:row>
      <xdr:rowOff>180974</xdr:rowOff>
    </xdr:to>
    <xdr:sp macro="" textlink="">
      <xdr:nvSpPr>
        <xdr:cNvPr id="5" name="Rectangle à coins arrondis 22">
          <a:extLst>
            <a:ext uri="{FF2B5EF4-FFF2-40B4-BE49-F238E27FC236}">
              <a16:creationId xmlns:a16="http://schemas.microsoft.com/office/drawing/2014/main" id="{00000000-0008-0000-5000-000005000000}"/>
            </a:ext>
          </a:extLst>
        </xdr:cNvPr>
        <xdr:cNvSpPr/>
      </xdr:nvSpPr>
      <xdr:spPr>
        <a:xfrm>
          <a:off x="180340" y="1618615"/>
          <a:ext cx="2400935" cy="1419225"/>
        </a:xfrm>
        <a:prstGeom prst="roundRect">
          <a:avLst/>
        </a:prstGeom>
        <a:solidFill>
          <a:schemeClr val="bg1">
            <a:lumMod val="95000"/>
          </a:schemeClr>
        </a:solidFill>
        <a:ln>
          <a:headEnd type="none" w="med" len="med"/>
          <a:tailEnd type="none" w="med" len="med"/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wrap="square" lIns="18288" tIns="0" rIns="0" bIns="0" rtlCol="0" anchor="ctr" upright="1"/>
        <a:lstStyle/>
        <a:p>
          <a:r>
            <a:rPr lang="en-US" sz="1100" b="1">
              <a:effectLst/>
              <a:latin typeface="+mn-lt"/>
              <a:ea typeface="+mn-ea"/>
              <a:cs typeface="+mn-cs"/>
            </a:rPr>
            <a:t>OXYRAL SARL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Zone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Industriel TIT MELLIL 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Casablanca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Téléphone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:</a:t>
          </a:r>
          <a:r>
            <a:rPr lang="en-US" sz="1100">
              <a:effectLst/>
              <a:latin typeface="+mn-lt"/>
              <a:ea typeface="+mn-ea"/>
              <a:cs typeface="+mn-cs"/>
            </a:rPr>
            <a:t> 0522 332 905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Fax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 </a:t>
          </a:r>
          <a:r>
            <a:rPr lang="en-US" sz="1100">
              <a:effectLst/>
              <a:latin typeface="+mn-lt"/>
              <a:ea typeface="+mn-ea"/>
              <a:cs typeface="+mn-cs"/>
            </a:rPr>
            <a:t>          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</a:t>
          </a:r>
          <a:r>
            <a:rPr lang="en-US" sz="1100">
              <a:effectLst/>
              <a:latin typeface="+mn-lt"/>
              <a:ea typeface="+mn-ea"/>
              <a:cs typeface="+mn-cs"/>
            </a:rPr>
            <a:t>: 0522 329 062</a:t>
          </a:r>
          <a:endParaRPr lang="fr-FR">
            <a:effectLst/>
          </a:endParaRPr>
        </a:p>
        <a:p>
          <a:r>
            <a:rPr lang="en-US" sz="1100">
              <a:effectLst/>
              <a:latin typeface="+mn-lt"/>
              <a:ea typeface="+mn-ea"/>
              <a:cs typeface="+mn-cs"/>
            </a:rPr>
            <a:t>Mail:</a:t>
          </a:r>
          <a:r>
            <a:rPr lang="en-US" sz="1100" baseline="0">
              <a:effectLst/>
              <a:latin typeface="+mn-lt"/>
              <a:ea typeface="+mn-ea"/>
              <a:cs typeface="+mn-cs"/>
            </a:rPr>
            <a:t> oxyral2010@gmail.com</a:t>
          </a:r>
          <a:endParaRPr lang="fr-FR">
            <a:effectLst/>
          </a:endParaRPr>
        </a:p>
        <a:p>
          <a:pPr algn="ctr"/>
          <a:endParaRPr lang="fr-FR" sz="1100" b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  <xdr:twoCellAnchor>
    <xdr:from>
      <xdr:col>2</xdr:col>
      <xdr:colOff>2085975</xdr:colOff>
      <xdr:row>6</xdr:row>
      <xdr:rowOff>19050</xdr:rowOff>
    </xdr:from>
    <xdr:to>
      <xdr:col>4</xdr:col>
      <xdr:colOff>205316</xdr:colOff>
      <xdr:row>7</xdr:row>
      <xdr:rowOff>76200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00000000-0008-0000-5000-000006000000}"/>
            </a:ext>
          </a:extLst>
        </xdr:cNvPr>
        <xdr:cNvSpPr txBox="1"/>
      </xdr:nvSpPr>
      <xdr:spPr>
        <a:xfrm>
          <a:off x="2933700" y="1162050"/>
          <a:ext cx="1252855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>
              <a:solidFill>
                <a:schemeClr val="dk1"/>
              </a:solidFill>
              <a:latin typeface="+mn-lt"/>
              <a:ea typeface="+mn-ea"/>
              <a:cs typeface="+mn-cs"/>
            </a:rPr>
            <a:t>Date:  10/04/2026</a:t>
          </a:r>
          <a:endParaRPr lang="fr-FR"/>
        </a:p>
      </xdr:txBody>
    </xdr:sp>
    <xdr:clientData/>
  </xdr:twoCellAnchor>
  <xdr:twoCellAnchor>
    <xdr:from>
      <xdr:col>4</xdr:col>
      <xdr:colOff>227545</xdr:colOff>
      <xdr:row>6</xdr:row>
      <xdr:rowOff>28575</xdr:rowOff>
    </xdr:from>
    <xdr:to>
      <xdr:col>4</xdr:col>
      <xdr:colOff>1219200</xdr:colOff>
      <xdr:row>7</xdr:row>
      <xdr:rowOff>85725</xdr:rowOff>
    </xdr:to>
    <xdr:sp macro="" textlink="">
      <xdr:nvSpPr>
        <xdr:cNvPr id="7" name="ZoneTexte 6">
          <a:extLst>
            <a:ext uri="{FF2B5EF4-FFF2-40B4-BE49-F238E27FC236}">
              <a16:creationId xmlns:a16="http://schemas.microsoft.com/office/drawing/2014/main" id="{00000000-0008-0000-5000-000007000000}"/>
            </a:ext>
          </a:extLst>
        </xdr:cNvPr>
        <xdr:cNvSpPr txBox="1"/>
      </xdr:nvSpPr>
      <xdr:spPr>
        <a:xfrm>
          <a:off x="4208780" y="1171575"/>
          <a:ext cx="991870" cy="24765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wrap="square" rtlCol="0" anchor="t"/>
        <a:lstStyle/>
        <a:p>
          <a:r>
            <a:rPr lang="fr-FR" sz="1100"/>
            <a:t>N :  2026/019</a:t>
          </a:r>
          <a:endParaRPr lang="fr-FR" sz="1100" b="1"/>
        </a:p>
      </xdr:txBody>
    </xdr:sp>
    <xdr:clientData/>
  </xdr:twoCellAnchor>
  <xdr:twoCellAnchor>
    <xdr:from>
      <xdr:col>1</xdr:col>
      <xdr:colOff>19050</xdr:colOff>
      <xdr:row>19</xdr:row>
      <xdr:rowOff>57149</xdr:rowOff>
    </xdr:from>
    <xdr:to>
      <xdr:col>2</xdr:col>
      <xdr:colOff>161925</xdr:colOff>
      <xdr:row>20</xdr:row>
      <xdr:rowOff>171450</xdr:rowOff>
    </xdr:to>
    <xdr:sp macro="" textlink="">
      <xdr:nvSpPr>
        <xdr:cNvPr id="8" name="Rectangle à coins arrondis 25">
          <a:extLst>
            <a:ext uri="{FF2B5EF4-FFF2-40B4-BE49-F238E27FC236}">
              <a16:creationId xmlns:a16="http://schemas.microsoft.com/office/drawing/2014/main" id="{00000000-0008-0000-5000-000008000000}"/>
            </a:ext>
          </a:extLst>
        </xdr:cNvPr>
        <xdr:cNvSpPr/>
      </xdr:nvSpPr>
      <xdr:spPr>
        <a:xfrm>
          <a:off x="180975" y="3676015"/>
          <a:ext cx="828675" cy="30543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601</a:t>
          </a:r>
        </a:p>
      </xdr:txBody>
    </xdr:sp>
    <xdr:clientData/>
  </xdr:twoCellAnchor>
  <xdr:twoCellAnchor>
    <xdr:from>
      <xdr:col>2</xdr:col>
      <xdr:colOff>266701</xdr:colOff>
      <xdr:row>19</xdr:row>
      <xdr:rowOff>85725</xdr:rowOff>
    </xdr:from>
    <xdr:to>
      <xdr:col>2</xdr:col>
      <xdr:colOff>1771651</xdr:colOff>
      <xdr:row>20</xdr:row>
      <xdr:rowOff>180975</xdr:rowOff>
    </xdr:to>
    <xdr:sp macro="" textlink="">
      <xdr:nvSpPr>
        <xdr:cNvPr id="9" name="Rectangle à coins arrondis 26">
          <a:extLst>
            <a:ext uri="{FF2B5EF4-FFF2-40B4-BE49-F238E27FC236}">
              <a16:creationId xmlns:a16="http://schemas.microsoft.com/office/drawing/2014/main" id="{00000000-0008-0000-5000-000009000000}"/>
            </a:ext>
          </a:extLst>
        </xdr:cNvPr>
        <xdr:cNvSpPr/>
      </xdr:nvSpPr>
      <xdr:spPr>
        <a:xfrm>
          <a:off x="1114425" y="3705225"/>
          <a:ext cx="1504950" cy="28575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200">
              <a:solidFill>
                <a:schemeClr val="tx1"/>
              </a:solidFill>
            </a:rPr>
            <a:t>100340315</a:t>
          </a:r>
        </a:p>
      </xdr:txBody>
    </xdr:sp>
    <xdr:clientData/>
  </xdr:twoCellAnchor>
  <xdr:twoCellAnchor>
    <xdr:from>
      <xdr:col>2</xdr:col>
      <xdr:colOff>1819275</xdr:colOff>
      <xdr:row>19</xdr:row>
      <xdr:rowOff>76200</xdr:rowOff>
    </xdr:from>
    <xdr:to>
      <xdr:col>4</xdr:col>
      <xdr:colOff>152400</xdr:colOff>
      <xdr:row>20</xdr:row>
      <xdr:rowOff>180975</xdr:rowOff>
    </xdr:to>
    <xdr:sp macro="" textlink="">
      <xdr:nvSpPr>
        <xdr:cNvPr id="10" name="Rectangle à coins arrondis 27">
          <a:extLst>
            <a:ext uri="{FF2B5EF4-FFF2-40B4-BE49-F238E27FC236}">
              <a16:creationId xmlns:a16="http://schemas.microsoft.com/office/drawing/2014/main" id="{00000000-0008-0000-5000-00000A000000}"/>
            </a:ext>
          </a:extLst>
        </xdr:cNvPr>
        <xdr:cNvSpPr/>
      </xdr:nvSpPr>
      <xdr:spPr>
        <a:xfrm>
          <a:off x="2667000" y="3695700"/>
          <a:ext cx="1466850" cy="295275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b"/>
        <a:lstStyle/>
        <a:p>
          <a:pPr algn="ctr"/>
          <a:endParaRPr lang="fr-FR" sz="11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endParaRPr lang="fr-FR" sz="1000">
            <a:solidFill>
              <a:schemeClr val="tx1"/>
            </a:solidFill>
          </a:endParaRPr>
        </a:p>
        <a:p>
          <a:pPr algn="l"/>
          <a:r>
            <a:rPr lang="fr-FR" sz="900">
              <a:solidFill>
                <a:schemeClr val="tx1"/>
              </a:solidFill>
            </a:rPr>
            <a:t>60 JRs de la réception de la facture</a:t>
          </a:r>
        </a:p>
      </xdr:txBody>
    </xdr:sp>
    <xdr:clientData/>
  </xdr:twoCellAnchor>
  <xdr:twoCellAnchor>
    <xdr:from>
      <xdr:col>4</xdr:col>
      <xdr:colOff>219076</xdr:colOff>
      <xdr:row>19</xdr:row>
      <xdr:rowOff>95251</xdr:rowOff>
    </xdr:from>
    <xdr:to>
      <xdr:col>4</xdr:col>
      <xdr:colOff>1295400</xdr:colOff>
      <xdr:row>20</xdr:row>
      <xdr:rowOff>171451</xdr:rowOff>
    </xdr:to>
    <xdr:sp macro="" textlink="">
      <xdr:nvSpPr>
        <xdr:cNvPr id="11" name="Rectangle à coins arrondis 28">
          <a:extLst>
            <a:ext uri="{FF2B5EF4-FFF2-40B4-BE49-F238E27FC236}">
              <a16:creationId xmlns:a16="http://schemas.microsoft.com/office/drawing/2014/main" id="{00000000-0008-0000-5000-00000B000000}"/>
            </a:ext>
          </a:extLst>
        </xdr:cNvPr>
        <xdr:cNvSpPr/>
      </xdr:nvSpPr>
      <xdr:spPr>
        <a:xfrm>
          <a:off x="4200525" y="3714750"/>
          <a:ext cx="1076325" cy="26670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>
              <a:solidFill>
                <a:schemeClr val="tx1"/>
              </a:solidFill>
            </a:rPr>
            <a:t>Par nos soins</a:t>
          </a:r>
        </a:p>
      </xdr:txBody>
    </xdr:sp>
    <xdr:clientData/>
  </xdr:twoCellAnchor>
  <xdr:twoCellAnchor>
    <xdr:from>
      <xdr:col>1</xdr:col>
      <xdr:colOff>19050</xdr:colOff>
      <xdr:row>17</xdr:row>
      <xdr:rowOff>28576</xdr:rowOff>
    </xdr:from>
    <xdr:to>
      <xdr:col>2</xdr:col>
      <xdr:colOff>180975</xdr:colOff>
      <xdr:row>18</xdr:row>
      <xdr:rowOff>142876</xdr:rowOff>
    </xdr:to>
    <xdr:sp macro="" textlink="">
      <xdr:nvSpPr>
        <xdr:cNvPr id="12" name="Rectangle à coins arrondis 29">
          <a:extLst>
            <a:ext uri="{FF2B5EF4-FFF2-40B4-BE49-F238E27FC236}">
              <a16:creationId xmlns:a16="http://schemas.microsoft.com/office/drawing/2014/main" id="{00000000-0008-0000-5000-00000C000000}"/>
            </a:ext>
          </a:extLst>
        </xdr:cNvPr>
        <xdr:cNvSpPr/>
      </xdr:nvSpPr>
      <xdr:spPr>
        <a:xfrm>
          <a:off x="180975" y="3267075"/>
          <a:ext cx="847725" cy="3048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Code</a:t>
          </a:r>
          <a:r>
            <a:rPr lang="fr-FR" sz="1100" b="1" baseline="0">
              <a:solidFill>
                <a:schemeClr val="tx1"/>
              </a:solidFill>
            </a:rPr>
            <a:t> </a:t>
          </a:r>
          <a:r>
            <a:rPr lang="fr-FR" sz="1000" b="1" baseline="0">
              <a:solidFill>
                <a:schemeClr val="tx1"/>
              </a:solidFill>
            </a:rPr>
            <a:t>client</a:t>
          </a:r>
          <a:endParaRPr lang="fr-FR" sz="10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1828800</xdr:colOff>
      <xdr:row>17</xdr:row>
      <xdr:rowOff>47625</xdr:rowOff>
    </xdr:from>
    <xdr:to>
      <xdr:col>4</xdr:col>
      <xdr:colOff>133350</xdr:colOff>
      <xdr:row>19</xdr:row>
      <xdr:rowOff>0</xdr:rowOff>
    </xdr:to>
    <xdr:sp macro="" textlink="">
      <xdr:nvSpPr>
        <xdr:cNvPr id="13" name="Rectangle à coins arrondis 30">
          <a:extLst>
            <a:ext uri="{FF2B5EF4-FFF2-40B4-BE49-F238E27FC236}">
              <a16:creationId xmlns:a16="http://schemas.microsoft.com/office/drawing/2014/main" id="{00000000-0008-0000-5000-00000D000000}"/>
            </a:ext>
          </a:extLst>
        </xdr:cNvPr>
        <xdr:cNvSpPr/>
      </xdr:nvSpPr>
      <xdr:spPr>
        <a:xfrm>
          <a:off x="2676525" y="3286125"/>
          <a:ext cx="1438275" cy="3333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050" b="1">
              <a:solidFill>
                <a:schemeClr val="tx1"/>
              </a:solidFill>
            </a:rPr>
            <a:t>Conditions</a:t>
          </a:r>
          <a:r>
            <a:rPr lang="fr-FR" sz="1050" b="1" baseline="0">
              <a:solidFill>
                <a:schemeClr val="tx1"/>
              </a:solidFill>
            </a:rPr>
            <a:t> de payement</a:t>
          </a:r>
          <a:endParaRPr lang="fr-FR" sz="1050" b="1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219075</xdr:colOff>
      <xdr:row>17</xdr:row>
      <xdr:rowOff>19050</xdr:rowOff>
    </xdr:from>
    <xdr:to>
      <xdr:col>4</xdr:col>
      <xdr:colOff>1295400</xdr:colOff>
      <xdr:row>19</xdr:row>
      <xdr:rowOff>9525</xdr:rowOff>
    </xdr:to>
    <xdr:sp macro="" textlink="">
      <xdr:nvSpPr>
        <xdr:cNvPr id="14" name="Rectangle à coins arrondis 31">
          <a:extLst>
            <a:ext uri="{FF2B5EF4-FFF2-40B4-BE49-F238E27FC236}">
              <a16:creationId xmlns:a16="http://schemas.microsoft.com/office/drawing/2014/main" id="{00000000-0008-0000-5000-00000E000000}"/>
            </a:ext>
          </a:extLst>
        </xdr:cNvPr>
        <xdr:cNvSpPr/>
      </xdr:nvSpPr>
      <xdr:spPr>
        <a:xfrm>
          <a:off x="4200525" y="3257550"/>
          <a:ext cx="1076325" cy="371475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900" b="1">
              <a:solidFill>
                <a:schemeClr val="tx1"/>
              </a:solidFill>
            </a:rPr>
            <a:t>Mode</a:t>
          </a:r>
          <a:r>
            <a:rPr lang="fr-FR" sz="900" b="1" baseline="0">
              <a:solidFill>
                <a:schemeClr val="tx1"/>
              </a:solidFill>
            </a:rPr>
            <a:t> de livraison</a:t>
          </a:r>
          <a:endParaRPr lang="fr-FR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276224</xdr:colOff>
      <xdr:row>17</xdr:row>
      <xdr:rowOff>38100</xdr:rowOff>
    </xdr:from>
    <xdr:to>
      <xdr:col>2</xdr:col>
      <xdr:colOff>1752600</xdr:colOff>
      <xdr:row>19</xdr:row>
      <xdr:rowOff>0</xdr:rowOff>
    </xdr:to>
    <xdr:sp macro="" textlink="">
      <xdr:nvSpPr>
        <xdr:cNvPr id="15" name="Rectangle à coins arrondis 32">
          <a:extLst>
            <a:ext uri="{FF2B5EF4-FFF2-40B4-BE49-F238E27FC236}">
              <a16:creationId xmlns:a16="http://schemas.microsoft.com/office/drawing/2014/main" id="{00000000-0008-0000-5000-00000F000000}"/>
            </a:ext>
          </a:extLst>
        </xdr:cNvPr>
        <xdr:cNvSpPr/>
      </xdr:nvSpPr>
      <xdr:spPr>
        <a:xfrm>
          <a:off x="1123315" y="3276600"/>
          <a:ext cx="1477010" cy="342900"/>
        </a:xfrm>
        <a:prstGeom prst="roundRect">
          <a:avLst/>
        </a:prstGeom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rtlCol="0" anchor="ctr"/>
        <a:lstStyle/>
        <a:p>
          <a:pPr algn="ctr"/>
          <a:r>
            <a:rPr lang="fr-FR" sz="1100" b="1">
              <a:solidFill>
                <a:schemeClr val="tx1"/>
              </a:solidFill>
            </a:rPr>
            <a:t>N°</a:t>
          </a:r>
          <a:r>
            <a:rPr lang="fr-FR" sz="1100" b="1" baseline="0">
              <a:solidFill>
                <a:schemeClr val="tx1"/>
              </a:solidFill>
            </a:rPr>
            <a:t> BON COMMANDE</a:t>
          </a:r>
          <a:endParaRPr lang="fr-FR" sz="1100" b="1">
            <a:solidFill>
              <a:schemeClr val="tx1"/>
            </a:solidFill>
          </a:endParaRPr>
        </a:p>
      </xdr:txBody>
    </xdr:sp>
    <xdr:clientData/>
  </xdr:twoCellAnchor>
  <xdr:oneCellAnchor>
    <xdr:from>
      <xdr:col>4</xdr:col>
      <xdr:colOff>904875</xdr:colOff>
      <xdr:row>36</xdr:row>
      <xdr:rowOff>123825</xdr:rowOff>
    </xdr:from>
    <xdr:ext cx="4403" cy="2497"/>
    <xdr:pic>
      <xdr:nvPicPr>
        <xdr:cNvPr id="16" name="Picture 2">
          <a:extLst>
            <a:ext uri="{FF2B5EF4-FFF2-40B4-BE49-F238E27FC236}">
              <a16:creationId xmlns:a16="http://schemas.microsoft.com/office/drawing/2014/main" id="{00000000-0008-0000-50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791575"/>
          <a:ext cx="3810" cy="1905"/>
        </a:xfrm>
        <a:prstGeom prst="rect">
          <a:avLst/>
        </a:prstGeom>
        <a:noFill/>
      </xdr:spPr>
    </xdr:pic>
    <xdr:clientData/>
  </xdr:oneCellAnchor>
  <xdr:oneCellAnchor>
    <xdr:from>
      <xdr:col>4</xdr:col>
      <xdr:colOff>895350</xdr:colOff>
      <xdr:row>36</xdr:row>
      <xdr:rowOff>38100</xdr:rowOff>
    </xdr:from>
    <xdr:ext cx="169" cy="1354"/>
    <xdr:pic>
      <xdr:nvPicPr>
        <xdr:cNvPr id="17" name="Picture 2">
          <a:extLst>
            <a:ext uri="{FF2B5EF4-FFF2-40B4-BE49-F238E27FC236}">
              <a16:creationId xmlns:a16="http://schemas.microsoft.com/office/drawing/2014/main" id="{00000000-0008-0000-50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76800" y="8705850"/>
          <a:ext cx="0" cy="127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914400</xdr:colOff>
      <xdr:row>36</xdr:row>
      <xdr:rowOff>28575</xdr:rowOff>
    </xdr:from>
    <xdr:ext cx="3598" cy="170"/>
    <xdr:pic>
      <xdr:nvPicPr>
        <xdr:cNvPr id="18" name="Picture 2">
          <a:extLst>
            <a:ext uri="{FF2B5EF4-FFF2-40B4-BE49-F238E27FC236}">
              <a16:creationId xmlns:a16="http://schemas.microsoft.com/office/drawing/2014/main" id="{00000000-0008-0000-50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95850" y="8696325"/>
          <a:ext cx="3175" cy="0"/>
        </a:xfrm>
        <a:prstGeom prst="rect">
          <a:avLst/>
        </a:prstGeom>
        <a:noFill/>
      </xdr:spPr>
    </xdr:pic>
    <xdr:clientData/>
  </xdr:oneCellAnchor>
  <xdr:oneCellAnchor>
    <xdr:from>
      <xdr:col>4</xdr:col>
      <xdr:colOff>904876</xdr:colOff>
      <xdr:row>36</xdr:row>
      <xdr:rowOff>28575</xdr:rowOff>
    </xdr:from>
    <xdr:ext cx="1906" cy="1524"/>
    <xdr:pic>
      <xdr:nvPicPr>
        <xdr:cNvPr id="19" name="Picture 2">
          <a:extLst>
            <a:ext uri="{FF2B5EF4-FFF2-40B4-BE49-F238E27FC236}">
              <a16:creationId xmlns:a16="http://schemas.microsoft.com/office/drawing/2014/main" id="{00000000-0008-0000-50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886325" y="8696325"/>
          <a:ext cx="1905" cy="1270"/>
        </a:xfrm>
        <a:prstGeom prst="rect">
          <a:avLst/>
        </a:prstGeom>
        <a:noFill/>
      </xdr:spPr>
    </xdr:pic>
    <xdr:clientData/>
  </xdr:oneCellAnchor>
  <xdr:twoCellAnchor>
    <xdr:from>
      <xdr:col>2</xdr:col>
      <xdr:colOff>266701</xdr:colOff>
      <xdr:row>19</xdr:row>
      <xdr:rowOff>85725</xdr:rowOff>
    </xdr:from>
    <xdr:to>
      <xdr:col>2</xdr:col>
      <xdr:colOff>1714500</xdr:colOff>
      <xdr:row>20</xdr:row>
      <xdr:rowOff>152399</xdr:rowOff>
    </xdr:to>
    <xdr:sp macro="" textlink="">
      <xdr:nvSpPr>
        <xdr:cNvPr id="20" name="Rectangle à coins arrondis 35">
          <a:extLst>
            <a:ext uri="{FF2B5EF4-FFF2-40B4-BE49-F238E27FC236}">
              <a16:creationId xmlns:a16="http://schemas.microsoft.com/office/drawing/2014/main" id="{00000000-0008-0000-5000-000014000000}"/>
            </a:ext>
          </a:extLst>
        </xdr:cNvPr>
        <xdr:cNvSpPr/>
      </xdr:nvSpPr>
      <xdr:spPr>
        <a:xfrm>
          <a:off x="1114425" y="3705225"/>
          <a:ext cx="1447800" cy="256540"/>
        </a:xfrm>
        <a:prstGeom prst="round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rtlCol="0" anchor="ctr"/>
        <a:lstStyle/>
        <a:p>
          <a:pPr algn="ctr"/>
          <a:endParaRPr lang="fr-FR" sz="1100">
            <a:solidFill>
              <a:schemeClr val="tx1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u3" displayName="Tableau3" ref="B5:C17" totalsRowShown="0">
  <autoFilter ref="B5:C17" xr:uid="{00000000-0009-0000-0100-000003000000}"/>
  <tableColumns count="2">
    <tableColumn id="1" xr3:uid="{00000000-0010-0000-0000-000001000000}" name="CODE"/>
    <tableColumn id="2" xr3:uid="{00000000-0010-0000-0000-000002000000}" name="LIBELLE"/>
  </tableColumns>
  <tableStyleInfo name="TableStyleLight1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eau1" displayName="Tableau1" ref="A8:F27" totalsRowCount="1">
  <autoFilter ref="A8:F26" xr:uid="{00000000-0009-0000-0100-000001000000}"/>
  <tableColumns count="6">
    <tableColumn id="1" xr3:uid="{00000000-0010-0000-0100-000001000000}" name="N°PRIX" dataDxfId="12"/>
    <tableColumn id="2" xr3:uid="{00000000-0010-0000-0100-000002000000}" name="DESIGNATION" dataDxfId="11"/>
    <tableColumn id="3" xr3:uid="{00000000-0010-0000-0100-000003000000}" name="UNITE" dataDxfId="10"/>
    <tableColumn id="4" xr3:uid="{00000000-0010-0000-0100-000004000000}" name="QUANTITE" totalsRowLabel="TOTAL TTC" dataDxfId="9"/>
    <tableColumn id="5" xr3:uid="{00000000-0010-0000-0100-000005000000}" name="P.U H.T" dataDxfId="8"/>
    <tableColumn id="6" xr3:uid="{00000000-0010-0000-0100-000006000000}" name="TOTAL H.T" totalsRowFunction="custom" dataDxfId="7">
      <calculatedColumnFormula>Tableau1[[#This Row],[QUANTITE]]*Tableau1[[#This Row],[P.U H.T]]</calculatedColumnFormula>
      <totalsRowFormula>F25*1.2</totalsRowFormula>
    </tableColumn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2000000}" name="Tableau15" displayName="Tableau15" ref="A4:G23" totalsRowCount="1">
  <autoFilter ref="A4:G22" xr:uid="{00000000-0009-0000-0100-000004000000}"/>
  <tableColumns count="7">
    <tableColumn id="1" xr3:uid="{00000000-0010-0000-0200-000001000000}" name="N°PRIX" dataDxfId="6"/>
    <tableColumn id="2" xr3:uid="{00000000-0010-0000-0200-000002000000}" name="DESIGNATION" dataDxfId="5"/>
    <tableColumn id="3" xr3:uid="{00000000-0010-0000-0200-000003000000}" name="UNITE" dataDxfId="4"/>
    <tableColumn id="4" xr3:uid="{00000000-0010-0000-0200-000004000000}" name="QUANTITE" totalsRowLabel="TOTAL TTC" dataDxfId="3"/>
    <tableColumn id="5" xr3:uid="{00000000-0010-0000-0200-000005000000}" name="P.U H.T" dataDxfId="2"/>
    <tableColumn id="7" xr3:uid="{00000000-0010-0000-0200-000007000000}" name="ALIGNEMENT" dataDxfId="1"/>
    <tableColumn id="8" xr3:uid="{00000000-0010-0000-0200-000008000000}" name="DIFFERENCE" dataDxfId="0">
      <calculatedColumnFormula>Tableau15[[#This Row],[P.U H.T]]-Tableau15[[#This Row],[ALIGNEMENT]]</calculatedColumnFormula>
    </tableColumn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Nuances de gris">
      <a:dk1>
        <a:sysClr val="windowText" lastClr="000000"/>
      </a:dk1>
      <a:lt1>
        <a:sysClr val="window" lastClr="FFFFFF"/>
      </a:lt1>
      <a:dk2>
        <a:srgbClr val="000000"/>
      </a:dk2>
      <a:lt2>
        <a:srgbClr val="F8F8F8"/>
      </a:lt2>
      <a:accent1>
        <a:srgbClr val="DDDDDD"/>
      </a:accent1>
      <a:accent2>
        <a:srgbClr val="B2B2B2"/>
      </a:accent2>
      <a:accent3>
        <a:srgbClr val="969696"/>
      </a:accent3>
      <a:accent4>
        <a:srgbClr val="808080"/>
      </a:accent4>
      <a:accent5>
        <a:srgbClr val="5F5F5F"/>
      </a:accent5>
      <a:accent6>
        <a:srgbClr val="4D4D4D"/>
      </a:accent6>
      <a:hlink>
        <a:srgbClr val="5F5F5F"/>
      </a:hlink>
      <a:folHlink>
        <a:srgbClr val="91919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Rotond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satMod val="180000"/>
              </a:schemeClr>
            </a:gs>
            <a:gs pos="65000">
              <a:schemeClr val="phClr">
                <a:tint val="32000"/>
                <a:satMod val="250000"/>
              </a:schemeClr>
            </a:gs>
            <a:gs pos="100000">
              <a:schemeClr val="phClr">
                <a:tint val="23000"/>
                <a:satMod val="300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shade val="15000"/>
                <a:satMod val="180000"/>
              </a:schemeClr>
            </a:gs>
            <a:gs pos="50000">
              <a:schemeClr val="phClr">
                <a:shade val="45000"/>
                <a:satMod val="170000"/>
              </a:schemeClr>
            </a:gs>
            <a:gs pos="70000">
              <a:schemeClr val="phClr">
                <a:tint val="99000"/>
                <a:shade val="65000"/>
                <a:satMod val="155000"/>
              </a:schemeClr>
            </a:gs>
            <a:gs pos="100000">
              <a:schemeClr val="phClr">
                <a:tint val="95500"/>
                <a:shade val="100000"/>
                <a:satMod val="15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55000" cap="flat" cmpd="thickThin" algn="ctr">
          <a:solidFill>
            <a:schemeClr val="phClr"/>
          </a:solidFill>
          <a:prstDash val="solid"/>
        </a:ln>
        <a:ln w="63500" cap="flat" cmpd="thickThin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63500" dist="38100" dir="5400000" rotWithShape="0">
              <a:srgbClr val="000000">
                <a:alpha val="45000"/>
              </a:srgbClr>
            </a:outerShdw>
          </a:effectLst>
          <a:scene3d>
            <a:camera prst="orthographicFront" fov="0">
              <a:rot lat="0" lon="0" rev="0"/>
            </a:camera>
            <a:lightRig rig="glow" dir="t">
              <a:rot lat="0" lon="0" rev="6360000"/>
            </a:lightRig>
          </a:scene3d>
          <a:sp3d contourW="1000" prstMaterial="flat">
            <a:bevelT w="95250" h="101600"/>
            <a:contourClr>
              <a:schemeClr val="phClr">
                <a:satMod val="30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8"/>
  <sheetViews>
    <sheetView topLeftCell="A7" workbookViewId="0">
      <selection activeCell="I18" sqref="I18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220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7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40"/>
  <sheetViews>
    <sheetView topLeftCell="A10" workbookViewId="0">
      <selection activeCell="B36" sqref="B36:C37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2" t="s">
        <v>5</v>
      </c>
      <c r="D20" s="51">
        <v>220</v>
      </c>
      <c r="E20" s="50">
        <v>17.100000000000001</v>
      </c>
      <c r="F20" s="100">
        <f>D20*E20</f>
        <v>3762</v>
      </c>
      <c r="L20" s="101"/>
    </row>
    <row r="21" spans="2:12" ht="14.5">
      <c r="B21" s="102"/>
      <c r="C21" s="102"/>
      <c r="D21" s="102"/>
      <c r="E21" s="103"/>
      <c r="F21" s="102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11</v>
      </c>
      <c r="C32" s="145"/>
      <c r="D32" s="107" t="s">
        <v>12</v>
      </c>
      <c r="E32" s="108"/>
      <c r="F32" s="58">
        <f>SUM(F20:F31)</f>
        <v>3762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6.75" customHeight="1">
      <c r="B34" s="60"/>
      <c r="C34" s="60"/>
      <c r="D34" s="103"/>
      <c r="E34" s="103"/>
      <c r="F34" s="38"/>
    </row>
    <row r="35" spans="2:10" s="40" customFormat="1" ht="29.25" customHeight="1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3762</v>
      </c>
      <c r="C36" s="150"/>
      <c r="D36" s="147">
        <f>E36-B36</f>
        <v>752.4</v>
      </c>
      <c r="E36" s="153">
        <f>B36*1.2-B37</f>
        <v>4514.3999999999996</v>
      </c>
      <c r="F36" s="154"/>
    </row>
    <row r="37" spans="2:10" ht="14.5">
      <c r="B37" s="151"/>
      <c r="C37" s="152"/>
      <c r="D37" s="148"/>
      <c r="E37" s="155"/>
      <c r="F37" s="156"/>
    </row>
    <row r="38" spans="2:10" ht="16.5" customHeight="1">
      <c r="B38" s="42"/>
      <c r="C38" s="42"/>
      <c r="D38" s="42"/>
      <c r="E38" s="42"/>
      <c r="F38" s="42"/>
      <c r="J38" t="s">
        <v>6</v>
      </c>
    </row>
    <row r="40" spans="2:10" ht="37.5" customHeight="1">
      <c r="B40" s="131"/>
      <c r="C40" s="131"/>
      <c r="D40" s="131"/>
      <c r="E40" s="131"/>
      <c r="F40" s="13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511811023622047" right="0.70866141732283505" top="0.74803149606299202" bottom="0.74803149606299202" header="0.31496062992126" footer="0.31496062992126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38"/>
  <sheetViews>
    <sheetView topLeftCell="A7" workbookViewId="0">
      <selection activeCell="A7" sqref="A1:XFD1048576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200</v>
      </c>
      <c r="E25" s="128">
        <v>17.100000000000001</v>
      </c>
      <c r="K25" s="59"/>
    </row>
    <row r="26" spans="1:11" ht="29">
      <c r="B26" s="19" t="s">
        <v>4</v>
      </c>
      <c r="C26" s="20" t="s">
        <v>5</v>
      </c>
      <c r="D26" s="20">
        <v>150</v>
      </c>
      <c r="E26" s="20">
        <v>17.100000000000001</v>
      </c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17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L41"/>
  <sheetViews>
    <sheetView topLeftCell="A4" workbookViewId="0">
      <selection activeCell="C23" sqref="C23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2" t="s">
        <v>5</v>
      </c>
      <c r="D20" s="51">
        <v>200</v>
      </c>
      <c r="E20" s="50">
        <v>17.100000000000001</v>
      </c>
      <c r="F20" s="119">
        <f>D20*E20</f>
        <v>3420</v>
      </c>
      <c r="L20" s="101"/>
    </row>
    <row r="21" spans="2:12" ht="29">
      <c r="B21" s="102" t="s">
        <v>4</v>
      </c>
      <c r="C21" s="12" t="s">
        <v>5</v>
      </c>
      <c r="D21" s="11">
        <v>150</v>
      </c>
      <c r="E21" s="127">
        <v>17.100000000000001</v>
      </c>
      <c r="F21" s="100">
        <f>D21*E21</f>
        <v>2565</v>
      </c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18</v>
      </c>
      <c r="C32" s="145"/>
      <c r="D32" s="107" t="s">
        <v>12</v>
      </c>
      <c r="E32" s="108"/>
      <c r="F32" s="58">
        <f>SUM(F20:F31)</f>
        <v>5985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2.75" customHeight="1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5985</v>
      </c>
      <c r="C36" s="150"/>
      <c r="D36" s="147">
        <f>E36-B36</f>
        <v>1197</v>
      </c>
      <c r="E36" s="153">
        <f>B36*1.2-B37</f>
        <v>7182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ht="14.5">
      <c r="B40" s="131"/>
      <c r="C40" s="131"/>
      <c r="D40" s="131"/>
      <c r="E40" s="131"/>
      <c r="F40" s="131"/>
    </row>
    <row r="41" spans="2:10" ht="37.5" customHeight="1">
      <c r="B41" s="132"/>
      <c r="C41" s="132"/>
      <c r="D41" s="132"/>
      <c r="E41" s="132"/>
      <c r="F41" s="132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L43"/>
  <sheetViews>
    <sheetView topLeftCell="A16" workbookViewId="0">
      <selection activeCell="I35" sqref="I35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14.5">
      <c r="B20" s="11" t="s">
        <v>4</v>
      </c>
      <c r="C20" s="12" t="s">
        <v>19</v>
      </c>
      <c r="D20" s="51">
        <v>2890</v>
      </c>
      <c r="E20" s="50">
        <v>17.3</v>
      </c>
      <c r="F20" s="119">
        <f>D20*E20</f>
        <v>49997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20</v>
      </c>
      <c r="C32" s="145"/>
      <c r="D32" s="107" t="s">
        <v>12</v>
      </c>
      <c r="E32" s="108"/>
      <c r="F32" s="58">
        <f>SUM(F20:F31)</f>
        <v>49997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49997</v>
      </c>
      <c r="C36" s="150"/>
      <c r="D36" s="147">
        <f>E36-B36</f>
        <v>9999.3999999999905</v>
      </c>
      <c r="E36" s="153">
        <f>B36*1.2-B37</f>
        <v>59996.4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1" spans="2:10" ht="18.75" customHeight="1">
      <c r="B41" s="61"/>
      <c r="C41" s="61"/>
      <c r="D41" s="61"/>
      <c r="E41" s="61"/>
      <c r="F41" s="61"/>
    </row>
    <row r="42" spans="2:10" s="59" customFormat="1" ht="39" customHeight="1"/>
    <row r="43" spans="2:10" s="59" customFormat="1" ht="37.5" customHeight="1"/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38"/>
  <sheetViews>
    <sheetView topLeftCell="A19" workbookViewId="0">
      <selection activeCell="C27" sqref="C27:C3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14.5">
      <c r="B25" s="126" t="s">
        <v>4</v>
      </c>
      <c r="C25" s="128" t="s">
        <v>19</v>
      </c>
      <c r="D25" s="128">
        <v>2890</v>
      </c>
      <c r="E25" s="128">
        <v>17.3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21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38"/>
  <sheetViews>
    <sheetView topLeftCell="A22" workbookViewId="0">
      <selection activeCell="C27" sqref="C27:C3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670</v>
      </c>
      <c r="E25" s="128">
        <v>17.100000000000001</v>
      </c>
      <c r="K25" s="59"/>
    </row>
    <row r="26" spans="1:11" ht="29">
      <c r="B26" s="19" t="s">
        <v>4</v>
      </c>
      <c r="C26" s="20" t="s">
        <v>5</v>
      </c>
      <c r="D26" s="20">
        <v>460</v>
      </c>
      <c r="E26" s="20">
        <v>17.100000000000001</v>
      </c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21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L41"/>
  <sheetViews>
    <sheetView topLeftCell="A7" workbookViewId="0">
      <selection activeCell="C24" sqref="C24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2" t="s">
        <v>5</v>
      </c>
      <c r="D20" s="51">
        <v>670</v>
      </c>
      <c r="E20" s="50">
        <v>17.100000000000001</v>
      </c>
      <c r="F20" s="119">
        <f>D20*E20</f>
        <v>11457</v>
      </c>
      <c r="L20" s="101"/>
    </row>
    <row r="21" spans="2:12" ht="29">
      <c r="B21" s="102" t="s">
        <v>4</v>
      </c>
      <c r="C21" s="12" t="s">
        <v>5</v>
      </c>
      <c r="D21" s="11">
        <v>460</v>
      </c>
      <c r="E21" s="127">
        <v>17.100000000000001</v>
      </c>
      <c r="F21" s="100">
        <f>D21*E21</f>
        <v>7866</v>
      </c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20</v>
      </c>
      <c r="C32" s="145"/>
      <c r="D32" s="107" t="s">
        <v>12</v>
      </c>
      <c r="E32" s="108"/>
      <c r="F32" s="58">
        <f>SUM(F20:F31)</f>
        <v>19323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19323</v>
      </c>
      <c r="C36" s="150"/>
      <c r="D36" s="147">
        <f>E36-B36</f>
        <v>3864.6</v>
      </c>
      <c r="E36" s="153">
        <f>B36*1.2-B37</f>
        <v>23187.599999999999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ht="14.5">
      <c r="B40" s="131"/>
      <c r="C40" s="131"/>
      <c r="D40" s="131"/>
      <c r="E40" s="131"/>
      <c r="F40" s="131"/>
    </row>
    <row r="41" spans="2:10" ht="14.5">
      <c r="B41" s="132"/>
      <c r="C41" s="132"/>
      <c r="D41" s="132"/>
      <c r="E41" s="132"/>
      <c r="F41" s="132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L39"/>
  <sheetViews>
    <sheetView topLeftCell="A19" workbookViewId="0">
      <selection activeCell="B25" sqref="B25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2" t="s">
        <v>5</v>
      </c>
      <c r="D20" s="51">
        <v>840</v>
      </c>
      <c r="E20" s="50">
        <v>17.100000000000001</v>
      </c>
      <c r="F20" s="119">
        <f>D20*E20</f>
        <v>14364</v>
      </c>
      <c r="L20" s="101"/>
    </row>
    <row r="21" spans="2:12" ht="29">
      <c r="B21" s="102" t="s">
        <v>22</v>
      </c>
      <c r="C21" s="12" t="s">
        <v>23</v>
      </c>
      <c r="D21" s="51">
        <v>60</v>
      </c>
      <c r="E21" s="50">
        <v>123.5</v>
      </c>
      <c r="F21" s="100">
        <f>D21*E21</f>
        <v>7410</v>
      </c>
      <c r="L21" s="59"/>
    </row>
    <row r="22" spans="2:12" ht="29">
      <c r="B22" s="102" t="s">
        <v>4</v>
      </c>
      <c r="C22" s="12" t="s">
        <v>5</v>
      </c>
      <c r="D22" s="51">
        <v>310</v>
      </c>
      <c r="E22" s="50">
        <v>17.100000000000001</v>
      </c>
      <c r="F22" s="100">
        <f t="shared" ref="F22:F26" si="0">D22*E22</f>
        <v>5301</v>
      </c>
      <c r="L22" s="59"/>
    </row>
    <row r="23" spans="2:12" ht="34.5" customHeight="1">
      <c r="B23" s="102" t="s">
        <v>4</v>
      </c>
      <c r="C23" s="12" t="s">
        <v>5</v>
      </c>
      <c r="D23" s="51">
        <v>250</v>
      </c>
      <c r="E23" s="50">
        <v>17.100000000000001</v>
      </c>
      <c r="F23" s="100">
        <f t="shared" si="0"/>
        <v>4275</v>
      </c>
      <c r="L23" s="59"/>
    </row>
    <row r="24" spans="2:12" ht="30" customHeight="1">
      <c r="B24" s="102" t="s">
        <v>4</v>
      </c>
      <c r="C24" s="12" t="s">
        <v>5</v>
      </c>
      <c r="D24" s="51">
        <v>230</v>
      </c>
      <c r="E24" s="50">
        <v>17.100000000000001</v>
      </c>
      <c r="F24" s="100">
        <f t="shared" si="0"/>
        <v>3933</v>
      </c>
      <c r="L24" s="59"/>
    </row>
    <row r="25" spans="2:12" ht="30" customHeight="1">
      <c r="B25" s="102" t="s">
        <v>4</v>
      </c>
      <c r="C25" s="12" t="s">
        <v>5</v>
      </c>
      <c r="D25" s="51">
        <v>130</v>
      </c>
      <c r="E25" s="50">
        <v>17.100000000000001</v>
      </c>
      <c r="F25" s="100">
        <f t="shared" si="0"/>
        <v>2223</v>
      </c>
      <c r="L25" s="59"/>
    </row>
    <row r="26" spans="2:12" ht="25.5" customHeight="1">
      <c r="B26" s="102" t="s">
        <v>4</v>
      </c>
      <c r="C26" s="102" t="s">
        <v>19</v>
      </c>
      <c r="D26" s="51">
        <v>60</v>
      </c>
      <c r="E26" s="50">
        <v>17.3</v>
      </c>
      <c r="F26" s="100">
        <f t="shared" si="0"/>
        <v>1038</v>
      </c>
      <c r="L26" s="59"/>
    </row>
    <row r="27" spans="2:12" ht="14.5">
      <c r="B27" s="102"/>
      <c r="C27" s="102"/>
      <c r="D27" s="102"/>
      <c r="E27" s="104"/>
      <c r="F27" s="102"/>
      <c r="I27" s="59"/>
      <c r="K27" s="59"/>
      <c r="L27" s="59"/>
    </row>
    <row r="28" spans="2:12" ht="14.5">
      <c r="B28" s="102"/>
      <c r="C28" s="102"/>
      <c r="D28" s="102"/>
      <c r="E28" s="104"/>
      <c r="F28" s="102"/>
    </row>
    <row r="29" spans="2:12" ht="28.5" customHeight="1">
      <c r="B29" s="105"/>
      <c r="C29" s="105"/>
      <c r="D29" s="105"/>
      <c r="E29" s="106"/>
      <c r="F29" s="105"/>
    </row>
    <row r="30" spans="2:12" ht="25.5" customHeight="1">
      <c r="B30" s="144" t="s">
        <v>24</v>
      </c>
      <c r="C30" s="145"/>
      <c r="D30" s="107" t="s">
        <v>12</v>
      </c>
      <c r="E30" s="108"/>
      <c r="F30" s="58">
        <f>SUM(F20:F29)</f>
        <v>38544</v>
      </c>
      <c r="I30" t="s">
        <v>13</v>
      </c>
    </row>
    <row r="31" spans="2:12" ht="15.5">
      <c r="B31" s="60"/>
      <c r="C31" s="60"/>
      <c r="D31" s="103"/>
      <c r="E31" s="103"/>
      <c r="F31" s="38"/>
      <c r="J31" s="62"/>
    </row>
    <row r="32" spans="2:12" ht="15.5">
      <c r="B32" s="60"/>
      <c r="C32" s="60"/>
      <c r="D32" s="103"/>
      <c r="E32" s="103"/>
      <c r="F32" s="38"/>
    </row>
    <row r="33" spans="2:10" s="40" customFormat="1" ht="14.5">
      <c r="B33" s="146" t="s">
        <v>14</v>
      </c>
      <c r="C33" s="146"/>
      <c r="D33" s="109" t="s">
        <v>15</v>
      </c>
      <c r="E33" s="146" t="s">
        <v>16</v>
      </c>
      <c r="F33" s="146"/>
      <c r="I33" s="110"/>
    </row>
    <row r="34" spans="2:10" ht="14.5">
      <c r="B34" s="149">
        <f>F30</f>
        <v>38544</v>
      </c>
      <c r="C34" s="150"/>
      <c r="D34" s="147">
        <f>E34-B34</f>
        <v>7708.8</v>
      </c>
      <c r="E34" s="153">
        <f>B34*1.2-B35</f>
        <v>46252.800000000003</v>
      </c>
      <c r="F34" s="154"/>
    </row>
    <row r="35" spans="2:10" ht="14.5">
      <c r="B35" s="151"/>
      <c r="C35" s="152"/>
      <c r="D35" s="148"/>
      <c r="E35" s="155"/>
      <c r="F35" s="156"/>
    </row>
    <row r="36" spans="2:10" ht="14.5">
      <c r="B36" s="42"/>
      <c r="C36" s="42"/>
      <c r="D36" s="42"/>
      <c r="E36" s="42"/>
      <c r="F36" s="42"/>
      <c r="J36" t="s">
        <v>6</v>
      </c>
    </row>
    <row r="37" spans="2:10" s="59" customFormat="1" ht="37.5" customHeight="1"/>
    <row r="38" spans="2:10" s="59" customFormat="1" ht="14.5"/>
    <row r="39" spans="2:10" ht="14.5">
      <c r="B39" s="130"/>
      <c r="C39" s="130"/>
      <c r="D39" s="130"/>
      <c r="E39" s="130"/>
      <c r="F39" s="130"/>
    </row>
  </sheetData>
  <mergeCells count="7">
    <mergeCell ref="B6:C6"/>
    <mergeCell ref="B30:C30"/>
    <mergeCell ref="B33:C33"/>
    <mergeCell ref="E33:F33"/>
    <mergeCell ref="D34:D35"/>
    <mergeCell ref="B34:C35"/>
    <mergeCell ref="E34:F35"/>
  </mergeCells>
  <pageMargins left="0.7" right="0.7" top="0.75" bottom="0.75" header="0.3" footer="0.3"/>
  <pageSetup paperSize="9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38"/>
  <sheetViews>
    <sheetView topLeftCell="A22" workbookViewId="0">
      <selection activeCell="B33" sqref="B33:E33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17" t="s">
        <v>4</v>
      </c>
      <c r="C25" s="12" t="s">
        <v>5</v>
      </c>
      <c r="D25" s="120">
        <v>840</v>
      </c>
      <c r="E25" s="14">
        <v>17.100000000000001</v>
      </c>
      <c r="K25" s="59"/>
    </row>
    <row r="26" spans="1:11" ht="29">
      <c r="B26" s="117" t="s">
        <v>22</v>
      </c>
      <c r="C26" s="12" t="s">
        <v>23</v>
      </c>
      <c r="D26" s="120">
        <v>60</v>
      </c>
      <c r="E26" s="14">
        <v>123.5</v>
      </c>
      <c r="H26" s="59"/>
      <c r="J26" s="59"/>
      <c r="K26" s="59"/>
    </row>
    <row r="27" spans="1:11" ht="29">
      <c r="B27" s="117" t="s">
        <v>4</v>
      </c>
      <c r="C27" s="12" t="s">
        <v>5</v>
      </c>
      <c r="D27" s="120">
        <v>310</v>
      </c>
      <c r="E27" s="14">
        <v>17.100000000000001</v>
      </c>
    </row>
    <row r="28" spans="1:11" ht="29">
      <c r="B28" s="117" t="s">
        <v>4</v>
      </c>
      <c r="C28" s="12" t="s">
        <v>5</v>
      </c>
      <c r="D28" s="120">
        <v>250</v>
      </c>
      <c r="E28" s="14">
        <v>17.100000000000001</v>
      </c>
    </row>
    <row r="29" spans="1:11" ht="29">
      <c r="B29" s="117" t="s">
        <v>4</v>
      </c>
      <c r="C29" s="12" t="s">
        <v>5</v>
      </c>
      <c r="D29" s="120">
        <v>230</v>
      </c>
      <c r="E29" s="14">
        <v>17.100000000000001</v>
      </c>
    </row>
    <row r="30" spans="1:11" ht="29">
      <c r="B30" s="117" t="s">
        <v>4</v>
      </c>
      <c r="C30" s="12" t="s">
        <v>5</v>
      </c>
      <c r="D30" s="120">
        <v>130</v>
      </c>
      <c r="E30" s="14">
        <v>17.100000000000001</v>
      </c>
      <c r="I30" t="s">
        <v>6</v>
      </c>
    </row>
    <row r="31" spans="1:11" ht="84.75" customHeight="1">
      <c r="A31" s="59"/>
      <c r="B31" s="129" t="s">
        <v>4</v>
      </c>
      <c r="C31" s="117" t="s">
        <v>19</v>
      </c>
      <c r="D31" s="120">
        <v>60</v>
      </c>
      <c r="E31" s="14">
        <v>17.3</v>
      </c>
    </row>
    <row r="32" spans="1:11" ht="14.5">
      <c r="A32" s="113"/>
      <c r="B32" s="113"/>
      <c r="C32" s="157" t="s">
        <v>7</v>
      </c>
      <c r="D32" s="158"/>
      <c r="E32" s="15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5">
    <mergeCell ref="C32:E32"/>
    <mergeCell ref="B33:E33"/>
    <mergeCell ref="A34:E34"/>
    <mergeCell ref="B35:E35"/>
    <mergeCell ref="B37:E37"/>
  </mergeCells>
  <pageMargins left="0.7" right="0.7" top="0.75" bottom="0.75" header="0.3" footer="0.3"/>
  <pageSetup paperSize="9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L42"/>
  <sheetViews>
    <sheetView topLeftCell="A4" workbookViewId="0">
      <selection activeCell="J31" sqref="J3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7" t="s">
        <v>5</v>
      </c>
      <c r="D20" s="51">
        <v>1250</v>
      </c>
      <c r="E20" s="50">
        <v>17.100000000000001</v>
      </c>
      <c r="F20" s="100">
        <f>D20*E20</f>
        <v>21375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25</v>
      </c>
      <c r="C32" s="145"/>
      <c r="D32" s="107" t="s">
        <v>12</v>
      </c>
      <c r="E32" s="108"/>
      <c r="F32" s="58">
        <f>SUM(F20:F31)</f>
        <v>21375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21375</v>
      </c>
      <c r="C36" s="150"/>
      <c r="D36" s="147">
        <f>E36-B36</f>
        <v>4275</v>
      </c>
      <c r="E36" s="153">
        <f>B36*1.2-B37</f>
        <v>25650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37.5" customHeight="1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38"/>
  <sheetViews>
    <sheetView topLeftCell="A19" workbookViewId="0">
      <selection activeCell="J40" sqref="J40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1250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26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L42"/>
  <sheetViews>
    <sheetView topLeftCell="A7" workbookViewId="0">
      <selection activeCell="B20" sqref="B20:E2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2.5" customHeight="1">
      <c r="B20" s="11" t="s">
        <v>4</v>
      </c>
      <c r="C20" s="17" t="s">
        <v>19</v>
      </c>
      <c r="D20" s="51">
        <v>2474</v>
      </c>
      <c r="E20" s="50">
        <v>17.3</v>
      </c>
      <c r="F20" s="100">
        <f>D20*E20</f>
        <v>42800.2</v>
      </c>
      <c r="L20" s="101"/>
    </row>
    <row r="21" spans="2:12" ht="43.5">
      <c r="B21" s="11" t="s">
        <v>27</v>
      </c>
      <c r="C21" s="12" t="s">
        <v>28</v>
      </c>
      <c r="D21" s="51">
        <v>935</v>
      </c>
      <c r="E21" s="50">
        <v>38</v>
      </c>
      <c r="F21" s="100">
        <f>D21*E21</f>
        <v>35530</v>
      </c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31.5" customHeight="1">
      <c r="B31" s="105"/>
      <c r="C31" s="105"/>
      <c r="D31" s="105"/>
      <c r="E31" s="106"/>
      <c r="F31" s="105"/>
    </row>
    <row r="32" spans="2:12" ht="25.5" customHeight="1">
      <c r="B32" s="144" t="s">
        <v>29</v>
      </c>
      <c r="C32" s="145"/>
      <c r="D32" s="107" t="s">
        <v>12</v>
      </c>
      <c r="E32" s="108"/>
      <c r="F32" s="58">
        <f>SUM(F20:F31)</f>
        <v>78330.2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78330.2</v>
      </c>
      <c r="C36" s="150"/>
      <c r="D36" s="147">
        <f>E36-B36</f>
        <v>15666.04</v>
      </c>
      <c r="E36" s="153">
        <f>B36*1.2-B37</f>
        <v>93996.24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38"/>
  <sheetViews>
    <sheetView topLeftCell="A19" workbookViewId="0">
      <selection activeCell="G31" sqref="G3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5.5" customHeight="1">
      <c r="B25" s="11" t="s">
        <v>4</v>
      </c>
      <c r="C25" s="17" t="s">
        <v>19</v>
      </c>
      <c r="D25" s="51">
        <v>2474</v>
      </c>
      <c r="E25" s="50">
        <v>17.3</v>
      </c>
      <c r="K25" s="59"/>
    </row>
    <row r="26" spans="1:11" ht="43.5">
      <c r="B26" s="11" t="s">
        <v>27</v>
      </c>
      <c r="C26" s="12" t="s">
        <v>28</v>
      </c>
      <c r="D26" s="51">
        <v>935</v>
      </c>
      <c r="E26" s="50">
        <v>38</v>
      </c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30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38"/>
  <sheetViews>
    <sheetView topLeftCell="A14" workbookViewId="0">
      <selection activeCell="C38" sqref="C38:C40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4070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31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L42"/>
  <sheetViews>
    <sheetView topLeftCell="A10" workbookViewId="0">
      <selection activeCell="H32" sqref="H32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7" t="s">
        <v>5</v>
      </c>
      <c r="D20" s="51">
        <v>4070</v>
      </c>
      <c r="E20" s="50">
        <v>17.100000000000001</v>
      </c>
      <c r="F20" s="100">
        <f>D20*E20</f>
        <v>69597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32</v>
      </c>
      <c r="C32" s="145"/>
      <c r="D32" s="107" t="s">
        <v>12</v>
      </c>
      <c r="E32" s="108"/>
      <c r="F32" s="58">
        <f>SUM(F20:F31)</f>
        <v>69597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69597</v>
      </c>
      <c r="C36" s="150"/>
      <c r="D36" s="147">
        <f>E36-B36</f>
        <v>13919.4</v>
      </c>
      <c r="E36" s="153">
        <f>B36*1.2-B37</f>
        <v>83516.399999999994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L42"/>
  <sheetViews>
    <sheetView topLeftCell="A13" workbookViewId="0">
      <selection activeCell="B31" sqref="B3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7" t="s">
        <v>5</v>
      </c>
      <c r="D20" s="51">
        <v>1311</v>
      </c>
      <c r="E20" s="50">
        <v>17.100000000000001</v>
      </c>
      <c r="F20" s="100">
        <f>D20*E20</f>
        <v>22418.1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25</v>
      </c>
      <c r="C32" s="145"/>
      <c r="D32" s="107" t="s">
        <v>12</v>
      </c>
      <c r="E32" s="108"/>
      <c r="F32" s="58">
        <f>SUM(F20:F31)</f>
        <v>22418.1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22418.1</v>
      </c>
      <c r="C36" s="150"/>
      <c r="D36" s="147">
        <f>E36-B36</f>
        <v>4483.62</v>
      </c>
      <c r="E36" s="153">
        <f>B36*1.2-B37</f>
        <v>26901.72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38"/>
  <sheetViews>
    <sheetView topLeftCell="A10" workbookViewId="0">
      <selection activeCell="B33" sqref="B33:E33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1311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33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K38"/>
  <sheetViews>
    <sheetView topLeftCell="A19" workbookViewId="0">
      <selection activeCell="C27" sqref="C27:C3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1070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33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L42"/>
  <sheetViews>
    <sheetView topLeftCell="A16" workbookViewId="0">
      <selection activeCell="C31" sqref="C3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7" t="s">
        <v>5</v>
      </c>
      <c r="D20" s="51">
        <v>1070</v>
      </c>
      <c r="E20" s="50">
        <v>17.100000000000001</v>
      </c>
      <c r="F20" s="100">
        <f>D20*E20</f>
        <v>18297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25</v>
      </c>
      <c r="C32" s="145"/>
      <c r="D32" s="107" t="s">
        <v>12</v>
      </c>
      <c r="E32" s="108"/>
      <c r="F32" s="58">
        <f>SUM(F20:F31)</f>
        <v>18297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18297</v>
      </c>
      <c r="C36" s="150"/>
      <c r="D36" s="147">
        <f>E36-B36</f>
        <v>3659.4</v>
      </c>
      <c r="E36" s="153">
        <f>B36*1.2-B37</f>
        <v>21956.400000000001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L42"/>
  <sheetViews>
    <sheetView workbookViewId="0">
      <selection activeCell="J29" sqref="J29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7" t="s">
        <v>5</v>
      </c>
      <c r="D20" s="51">
        <v>1893</v>
      </c>
      <c r="E20" s="50">
        <v>17.100000000000001</v>
      </c>
      <c r="F20" s="100">
        <f>D20*E20</f>
        <v>32370.3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25</v>
      </c>
      <c r="C32" s="145"/>
      <c r="D32" s="107" t="s">
        <v>12</v>
      </c>
      <c r="E32" s="108"/>
      <c r="F32" s="58">
        <f>SUM(F20:F31)</f>
        <v>32370.3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32370.3</v>
      </c>
      <c r="C36" s="150"/>
      <c r="D36" s="147">
        <f>E36-B36</f>
        <v>6474.06</v>
      </c>
      <c r="E36" s="153">
        <f>B36*1.2-B37</f>
        <v>38844.36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K38"/>
  <sheetViews>
    <sheetView topLeftCell="A13" workbookViewId="0">
      <selection activeCell="C27" sqref="C27:C3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1893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33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L42"/>
  <sheetViews>
    <sheetView workbookViewId="0">
      <selection activeCell="D20" sqref="D20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">
      <c r="B20" s="11" t="s">
        <v>4</v>
      </c>
      <c r="C20" s="17" t="s">
        <v>5</v>
      </c>
      <c r="D20" s="51">
        <v>740</v>
      </c>
      <c r="E20" s="50">
        <v>17.100000000000001</v>
      </c>
      <c r="F20" s="100">
        <f>D20*E20</f>
        <v>12654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18</v>
      </c>
      <c r="C32" s="145"/>
      <c r="D32" s="107" t="s">
        <v>12</v>
      </c>
      <c r="E32" s="108"/>
      <c r="F32" s="58">
        <f>SUM(F20:F31)</f>
        <v>12654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12654</v>
      </c>
      <c r="C36" s="150"/>
      <c r="D36" s="147">
        <f>E36-B36</f>
        <v>2530.8000000000002</v>
      </c>
      <c r="E36" s="153">
        <f>B36*1.2-B37</f>
        <v>15184.8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K38"/>
  <sheetViews>
    <sheetView topLeftCell="A19" workbookViewId="0">
      <selection activeCell="J31" sqref="J3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26" t="s">
        <v>4</v>
      </c>
      <c r="C25" s="128" t="s">
        <v>5</v>
      </c>
      <c r="D25" s="128">
        <v>740</v>
      </c>
      <c r="E25" s="128">
        <v>17.100000000000001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33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L42"/>
  <sheetViews>
    <sheetView workbookViewId="0">
      <selection activeCell="G19" sqref="G19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3.25" customHeight="1">
      <c r="B20" s="11" t="s">
        <v>4</v>
      </c>
      <c r="C20" s="17" t="s">
        <v>19</v>
      </c>
      <c r="D20" s="51">
        <v>2600</v>
      </c>
      <c r="E20" s="50">
        <v>17.3</v>
      </c>
      <c r="F20" s="100">
        <f>D20*E20</f>
        <v>44980</v>
      </c>
      <c r="L20" s="101"/>
    </row>
    <row r="21" spans="2:12" ht="14.5">
      <c r="B21" s="102"/>
      <c r="C21" s="12"/>
      <c r="D21" s="11"/>
      <c r="E21" s="127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34</v>
      </c>
      <c r="C32" s="145"/>
      <c r="D32" s="107" t="s">
        <v>12</v>
      </c>
      <c r="E32" s="108"/>
      <c r="F32" s="58">
        <f>SUM(F20:F31)</f>
        <v>44980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44980</v>
      </c>
      <c r="C36" s="150"/>
      <c r="D36" s="147">
        <f>E36-B36</f>
        <v>8996</v>
      </c>
      <c r="E36" s="153">
        <f>B36*1.2-B37</f>
        <v>53976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K38"/>
  <sheetViews>
    <sheetView topLeftCell="A10" workbookViewId="0">
      <selection activeCell="C22" sqref="C22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30.75" customHeight="1">
      <c r="B25" s="126" t="s">
        <v>4</v>
      </c>
      <c r="C25" s="17" t="s">
        <v>19</v>
      </c>
      <c r="D25" s="51">
        <v>2600</v>
      </c>
      <c r="E25" s="50">
        <v>17.3</v>
      </c>
      <c r="K25" s="59"/>
    </row>
    <row r="26" spans="1:11" ht="14.5">
      <c r="B26" s="19"/>
      <c r="C26" s="20"/>
      <c r="D26" s="20"/>
      <c r="E26" s="20"/>
      <c r="H26" s="59"/>
      <c r="J26" s="59"/>
      <c r="K26" s="59"/>
    </row>
    <row r="27" spans="1:11" ht="14.5">
      <c r="B27" s="133"/>
      <c r="C27" s="135"/>
      <c r="D27" s="135"/>
      <c r="E27" s="135"/>
    </row>
    <row r="28" spans="1:11" ht="14.5">
      <c r="B28" s="133"/>
      <c r="C28" s="135"/>
      <c r="D28" s="135"/>
      <c r="E28" s="135"/>
    </row>
    <row r="29" spans="1:11" ht="14.5">
      <c r="B29" s="133"/>
      <c r="C29" s="135"/>
      <c r="D29" s="135"/>
      <c r="E29" s="135"/>
    </row>
    <row r="30" spans="1:11" ht="14.5">
      <c r="B30" s="133"/>
      <c r="C30" s="135"/>
      <c r="D30" s="135"/>
      <c r="E30" s="135"/>
      <c r="I30" t="s">
        <v>6</v>
      </c>
    </row>
    <row r="31" spans="1:11" ht="141" customHeight="1">
      <c r="A31" s="59"/>
      <c r="B31" s="134"/>
      <c r="C31" s="136"/>
      <c r="D31" s="136"/>
      <c r="E31" s="136"/>
    </row>
    <row r="32" spans="1:11" ht="14.5">
      <c r="A32" s="113"/>
      <c r="B32" s="113"/>
      <c r="C32" s="137" t="s">
        <v>35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9">
    <mergeCell ref="B33:E33"/>
    <mergeCell ref="A34:E34"/>
    <mergeCell ref="B35:E35"/>
    <mergeCell ref="B37:E37"/>
    <mergeCell ref="B27:B31"/>
    <mergeCell ref="C27:C31"/>
    <mergeCell ref="D27:D31"/>
    <mergeCell ref="E27:E31"/>
    <mergeCell ref="C32:E32"/>
  </mergeCells>
  <pageMargins left="0.7" right="0.7" top="0.75" bottom="0.75" header="0.3" footer="0.3"/>
  <pageSetup paperSize="9" orientation="portrait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F0"/>
  </sheetPr>
  <dimension ref="B1:L42"/>
  <sheetViews>
    <sheetView workbookViewId="0">
      <selection sqref="A1:XFD1048576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3.25" customHeight="1">
      <c r="B20" s="11"/>
      <c r="C20" s="17"/>
      <c r="D20" s="99"/>
      <c r="E20" s="50"/>
      <c r="F20" s="100"/>
      <c r="L20" s="101"/>
    </row>
    <row r="21" spans="2:12" ht="14.5">
      <c r="B21" s="11"/>
      <c r="C21" s="12"/>
      <c r="D21" s="99"/>
      <c r="E21" s="50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36</v>
      </c>
      <c r="C32" s="145"/>
      <c r="D32" s="107" t="s">
        <v>12</v>
      </c>
      <c r="E32" s="108"/>
      <c r="F32" s="58">
        <f>SUM(F20:F31)</f>
        <v>0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0</v>
      </c>
      <c r="C36" s="150"/>
      <c r="D36" s="147">
        <f>E36-B36</f>
        <v>0</v>
      </c>
      <c r="E36" s="153">
        <f>B36*1.2-B37</f>
        <v>0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7030A0"/>
  </sheetPr>
  <dimension ref="A1:K38"/>
  <sheetViews>
    <sheetView topLeftCell="A7" workbookViewId="0">
      <selection activeCell="A7" sqref="A1:XFD1048576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30.75" customHeight="1">
      <c r="B25" s="123"/>
      <c r="C25" s="17"/>
      <c r="D25" s="51"/>
      <c r="E25" s="124"/>
      <c r="K25" s="59"/>
    </row>
    <row r="26" spans="1:11" ht="14.5">
      <c r="B26" s="16"/>
      <c r="C26" s="17"/>
      <c r="D26" s="18"/>
      <c r="E26" s="125"/>
      <c r="H26" s="59"/>
      <c r="J26" s="59"/>
      <c r="K26" s="59"/>
    </row>
    <row r="27" spans="1:11" ht="14.5">
      <c r="B27" s="16"/>
      <c r="C27" s="17"/>
      <c r="D27" s="18"/>
      <c r="E27" s="125"/>
    </row>
    <row r="28" spans="1:11" ht="14.5">
      <c r="B28" s="19"/>
      <c r="C28" s="20"/>
      <c r="D28" s="20"/>
      <c r="E28" s="20"/>
    </row>
    <row r="29" spans="1:11" ht="14.5">
      <c r="B29" s="19"/>
      <c r="C29" s="20"/>
      <c r="D29" s="20"/>
      <c r="E29" s="20"/>
    </row>
    <row r="30" spans="1:11" ht="14.5">
      <c r="B30" s="19"/>
      <c r="C30" s="20"/>
      <c r="D30" s="20"/>
      <c r="E30" s="20"/>
      <c r="I30" t="s">
        <v>6</v>
      </c>
    </row>
    <row r="31" spans="1:11" ht="141" customHeight="1">
      <c r="A31" s="59"/>
      <c r="B31" s="21"/>
      <c r="C31" s="22"/>
      <c r="D31" s="22"/>
      <c r="E31" s="22"/>
    </row>
    <row r="32" spans="1:11" ht="14.5">
      <c r="A32" s="113"/>
      <c r="B32" s="113"/>
      <c r="C32" s="137" t="s">
        <v>37</v>
      </c>
      <c r="D32" s="138"/>
      <c r="E32" s="139"/>
    </row>
    <row r="33" spans="1:6" ht="14.5">
      <c r="A33" s="114"/>
      <c r="B33" s="140"/>
      <c r="C33" s="140"/>
      <c r="D33" s="140"/>
      <c r="E33" s="140"/>
    </row>
    <row r="34" spans="1:6" ht="14.5">
      <c r="A34" s="141"/>
      <c r="B34" s="141"/>
      <c r="C34" s="141"/>
      <c r="D34" s="141"/>
      <c r="E34" s="141"/>
    </row>
    <row r="35" spans="1:6" ht="14.5">
      <c r="A35" s="114"/>
      <c r="B35" s="140"/>
      <c r="C35" s="140"/>
      <c r="D35" s="140"/>
      <c r="E35" s="140"/>
    </row>
    <row r="36" spans="1:6" ht="14.5">
      <c r="B36" s="59"/>
      <c r="C36" s="59"/>
      <c r="D36" s="59"/>
      <c r="E36" s="115"/>
    </row>
    <row r="37" spans="1:6" ht="14.5">
      <c r="B37" s="142"/>
      <c r="C37" s="142"/>
      <c r="D37" s="142"/>
      <c r="E37" s="142"/>
      <c r="F37" s="116"/>
    </row>
    <row r="38" spans="1:6" ht="14.5">
      <c r="B38" s="59"/>
      <c r="C38" s="59"/>
      <c r="D38" s="59"/>
      <c r="E38" s="59"/>
    </row>
  </sheetData>
  <mergeCells count="5">
    <mergeCell ref="C32:E32"/>
    <mergeCell ref="B33:E33"/>
    <mergeCell ref="A34:E34"/>
    <mergeCell ref="B35:E35"/>
    <mergeCell ref="B37:E37"/>
  </mergeCell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L42"/>
  <sheetViews>
    <sheetView topLeftCell="A4" workbookViewId="0">
      <selection activeCell="C23" sqref="C23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.25" customHeight="1">
      <c r="B20" s="11" t="s">
        <v>4</v>
      </c>
      <c r="C20" s="17" t="s">
        <v>5</v>
      </c>
      <c r="D20" s="99">
        <v>2500</v>
      </c>
      <c r="E20" s="50">
        <v>17.100000000000001</v>
      </c>
      <c r="F20" s="100">
        <f>E20*D20</f>
        <v>42750</v>
      </c>
      <c r="L20" s="101"/>
    </row>
    <row r="21" spans="2:12" ht="14.5">
      <c r="B21" s="11"/>
      <c r="C21" s="12"/>
      <c r="D21" s="99"/>
      <c r="E21" s="50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38</v>
      </c>
      <c r="C32" s="145"/>
      <c r="D32" s="107" t="s">
        <v>12</v>
      </c>
      <c r="E32" s="108"/>
      <c r="F32" s="58">
        <f>SUM(F20:F31)</f>
        <v>42750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42750</v>
      </c>
      <c r="C36" s="150"/>
      <c r="D36" s="147">
        <f>E36-B36</f>
        <v>8550</v>
      </c>
      <c r="E36" s="153">
        <f>B36*1.2-B37</f>
        <v>51300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K39"/>
  <sheetViews>
    <sheetView topLeftCell="A13" workbookViewId="0">
      <selection activeCell="C32" sqref="C32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3.25" customHeight="1">
      <c r="B25" s="16" t="s">
        <v>4</v>
      </c>
      <c r="C25" s="17" t="s">
        <v>39</v>
      </c>
      <c r="D25" s="51">
        <v>2500</v>
      </c>
      <c r="E25" s="50">
        <v>17.100000000000001</v>
      </c>
      <c r="K25" s="59"/>
    </row>
    <row r="26" spans="1:11" ht="30.75" customHeight="1">
      <c r="B26" s="16"/>
      <c r="C26" s="17"/>
      <c r="D26" s="51"/>
      <c r="E26" s="50"/>
      <c r="K26" s="59"/>
    </row>
    <row r="27" spans="1:11" ht="14.5">
      <c r="B27" s="16"/>
      <c r="C27" s="17"/>
      <c r="D27" s="18"/>
      <c r="E27" s="18"/>
      <c r="H27" s="59"/>
      <c r="J27" s="59"/>
      <c r="K27" s="59"/>
    </row>
    <row r="28" spans="1:11" ht="14.5">
      <c r="B28" s="16"/>
      <c r="C28" s="17"/>
      <c r="D28" s="18"/>
      <c r="E28" s="18"/>
    </row>
    <row r="29" spans="1:11" ht="14.5">
      <c r="B29" s="19"/>
      <c r="C29" s="20"/>
      <c r="D29" s="20"/>
      <c r="E29" s="20"/>
    </row>
    <row r="30" spans="1:11" ht="14.5">
      <c r="B30" s="19"/>
      <c r="C30" s="20"/>
      <c r="D30" s="20"/>
      <c r="E30" s="20"/>
    </row>
    <row r="31" spans="1:11" ht="14.5">
      <c r="B31" s="19"/>
      <c r="C31" s="20"/>
      <c r="D31" s="20"/>
      <c r="E31" s="20"/>
      <c r="I31" t="s">
        <v>6</v>
      </c>
    </row>
    <row r="32" spans="1:11" ht="141" customHeight="1">
      <c r="A32" s="59"/>
      <c r="B32" s="21"/>
      <c r="C32" s="22"/>
      <c r="D32" s="22"/>
      <c r="E32" s="22"/>
    </row>
    <row r="33" spans="1:6" ht="14.5">
      <c r="A33" s="113"/>
      <c r="B33" s="113"/>
      <c r="C33" s="137" t="s">
        <v>40</v>
      </c>
      <c r="D33" s="138"/>
      <c r="E33" s="139"/>
    </row>
    <row r="34" spans="1:6" ht="14.5">
      <c r="A34" s="114"/>
      <c r="B34" s="140"/>
      <c r="C34" s="140"/>
      <c r="D34" s="140"/>
      <c r="E34" s="140"/>
    </row>
    <row r="35" spans="1:6" ht="14.5">
      <c r="A35" s="141"/>
      <c r="B35" s="141"/>
      <c r="C35" s="141"/>
      <c r="D35" s="141"/>
      <c r="E35" s="141"/>
    </row>
    <row r="36" spans="1:6" ht="14.5">
      <c r="A36" s="114"/>
      <c r="B36" s="140"/>
      <c r="C36" s="140"/>
      <c r="D36" s="140"/>
      <c r="E36" s="140"/>
    </row>
    <row r="37" spans="1:6" ht="14.5">
      <c r="B37" s="59"/>
      <c r="C37" s="59"/>
      <c r="D37" s="59"/>
      <c r="E37" s="115"/>
    </row>
    <row r="38" spans="1:6" ht="14.5">
      <c r="B38" s="142"/>
      <c r="C38" s="142"/>
      <c r="D38" s="142"/>
      <c r="E38" s="142"/>
      <c r="F38" s="116"/>
    </row>
    <row r="39" spans="1:6" ht="14.5">
      <c r="B39" s="59"/>
      <c r="C39" s="59"/>
      <c r="D39" s="59"/>
      <c r="E39" s="59"/>
    </row>
  </sheetData>
  <mergeCells count="5">
    <mergeCell ref="C33:E33"/>
    <mergeCell ref="B34:E34"/>
    <mergeCell ref="A35:E35"/>
    <mergeCell ref="B36:E36"/>
    <mergeCell ref="B38:E38"/>
  </mergeCells>
  <pageMargins left="0.7" right="0.7" top="0.75" bottom="0.75" header="0.3" footer="0.3"/>
  <pageSetup paperSize="9" orientation="portrait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L42"/>
  <sheetViews>
    <sheetView topLeftCell="A10" workbookViewId="0">
      <selection activeCell="C24" sqref="C24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.25" customHeight="1">
      <c r="B20" s="11" t="s">
        <v>4</v>
      </c>
      <c r="C20" s="17" t="s">
        <v>5</v>
      </c>
      <c r="D20" s="99">
        <v>1150</v>
      </c>
      <c r="E20" s="50">
        <v>17.100000000000001</v>
      </c>
      <c r="F20" s="100">
        <f>E20*D20</f>
        <v>19665</v>
      </c>
      <c r="L20" s="101"/>
    </row>
    <row r="21" spans="2:12" ht="14.5">
      <c r="B21" s="11"/>
      <c r="C21" s="12"/>
      <c r="D21" s="99"/>
      <c r="E21" s="50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38</v>
      </c>
      <c r="C32" s="145"/>
      <c r="D32" s="107" t="s">
        <v>12</v>
      </c>
      <c r="E32" s="108"/>
      <c r="F32" s="58">
        <f>SUM(F20:F31)</f>
        <v>19665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19665</v>
      </c>
      <c r="C36" s="150"/>
      <c r="D36" s="147">
        <f>E36-B36</f>
        <v>3933</v>
      </c>
      <c r="E36" s="153">
        <f>B36*1.2-B37</f>
        <v>23598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K39"/>
  <sheetViews>
    <sheetView topLeftCell="A10" workbookViewId="0">
      <selection activeCell="C28" sqref="C28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6" t="s">
        <v>4</v>
      </c>
      <c r="C25" s="17" t="s">
        <v>41</v>
      </c>
      <c r="D25" s="51">
        <v>1150</v>
      </c>
      <c r="E25" s="50">
        <v>17.100000000000001</v>
      </c>
      <c r="K25" s="59"/>
    </row>
    <row r="26" spans="1:11" ht="30.75" customHeight="1">
      <c r="B26" s="16"/>
      <c r="C26" s="17"/>
      <c r="D26" s="51"/>
      <c r="E26" s="50"/>
      <c r="K26" s="59"/>
    </row>
    <row r="27" spans="1:11" ht="14.5">
      <c r="B27" s="16"/>
      <c r="C27" s="17"/>
      <c r="D27" s="18"/>
      <c r="E27" s="18"/>
      <c r="H27" s="59"/>
      <c r="J27" s="59"/>
      <c r="K27" s="59"/>
    </row>
    <row r="28" spans="1:11" ht="14.5">
      <c r="B28" s="16"/>
      <c r="C28" s="17"/>
      <c r="D28" s="18"/>
      <c r="E28" s="18"/>
    </row>
    <row r="29" spans="1:11" ht="14.5">
      <c r="B29" s="19"/>
      <c r="C29" s="20"/>
      <c r="D29" s="20"/>
      <c r="E29" s="20"/>
    </row>
    <row r="30" spans="1:11" ht="14.5">
      <c r="B30" s="19"/>
      <c r="C30" s="20"/>
      <c r="D30" s="20"/>
      <c r="E30" s="20"/>
    </row>
    <row r="31" spans="1:11" ht="14.5">
      <c r="B31" s="19"/>
      <c r="C31" s="20"/>
      <c r="D31" s="20"/>
      <c r="E31" s="20"/>
      <c r="I31" t="s">
        <v>6</v>
      </c>
    </row>
    <row r="32" spans="1:11" ht="141" customHeight="1">
      <c r="A32" s="59"/>
      <c r="B32" s="21"/>
      <c r="C32" s="22"/>
      <c r="D32" s="22"/>
      <c r="E32" s="22"/>
    </row>
    <row r="33" spans="1:6" ht="14.5">
      <c r="A33" s="113"/>
      <c r="B33" s="113"/>
      <c r="C33" s="137" t="s">
        <v>42</v>
      </c>
      <c r="D33" s="138"/>
      <c r="E33" s="139"/>
    </row>
    <row r="34" spans="1:6" ht="14.5">
      <c r="A34" s="114"/>
      <c r="B34" s="140"/>
      <c r="C34" s="140"/>
      <c r="D34" s="140"/>
      <c r="E34" s="140"/>
    </row>
    <row r="35" spans="1:6" ht="14.5">
      <c r="A35" s="141"/>
      <c r="B35" s="141"/>
      <c r="C35" s="141"/>
      <c r="D35" s="141"/>
      <c r="E35" s="141"/>
    </row>
    <row r="36" spans="1:6" ht="14.5">
      <c r="A36" s="114"/>
      <c r="B36" s="140"/>
      <c r="C36" s="140"/>
      <c r="D36" s="140"/>
      <c r="E36" s="140"/>
    </row>
    <row r="37" spans="1:6" ht="14.5">
      <c r="B37" s="59"/>
      <c r="C37" s="59"/>
      <c r="D37" s="59"/>
      <c r="E37" s="115"/>
    </row>
    <row r="38" spans="1:6" ht="14.5">
      <c r="B38" s="142"/>
      <c r="C38" s="142"/>
      <c r="D38" s="142"/>
      <c r="E38" s="142"/>
      <c r="F38" s="116"/>
    </row>
    <row r="39" spans="1:6" ht="14.5">
      <c r="B39" s="59"/>
      <c r="C39" s="59"/>
      <c r="D39" s="59"/>
      <c r="E39" s="59"/>
    </row>
  </sheetData>
  <mergeCells count="5">
    <mergeCell ref="C33:E33"/>
    <mergeCell ref="B34:E34"/>
    <mergeCell ref="A35:E35"/>
    <mergeCell ref="B36:E36"/>
    <mergeCell ref="B38:E38"/>
  </mergeCells>
  <pageMargins left="0.7" right="0.7" top="0.75" bottom="0.75" header="0.3" footer="0.3"/>
  <pageSetup paperSize="9" orientation="portrait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K39"/>
  <sheetViews>
    <sheetView topLeftCell="A22" workbookViewId="0">
      <selection activeCell="C32" sqref="C32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1:11" ht="14.5">
      <c r="D17" s="5"/>
      <c r="E17" s="6"/>
    </row>
    <row r="18" spans="1:11" ht="14.5">
      <c r="D18" s="5"/>
      <c r="E18" s="6"/>
    </row>
    <row r="19" spans="1:11" ht="14.5">
      <c r="B19" s="96"/>
      <c r="D19" s="8"/>
      <c r="E19" s="8"/>
      <c r="F19" s="59"/>
    </row>
    <row r="20" spans="1:11" ht="14.5">
      <c r="B20" s="97"/>
      <c r="D20" s="8"/>
      <c r="E20" s="8"/>
      <c r="F20" s="59"/>
    </row>
    <row r="21" spans="1:11" ht="14.5">
      <c r="B21" s="97"/>
      <c r="D21" s="8"/>
      <c r="E21" s="8"/>
      <c r="F21" s="59"/>
    </row>
    <row r="22" spans="1:11" ht="14.5">
      <c r="B22" s="97"/>
      <c r="D22" s="8"/>
      <c r="E22" s="8"/>
      <c r="F22" s="59"/>
    </row>
    <row r="23" spans="1:11" ht="14.5">
      <c r="B23" s="97"/>
      <c r="D23" s="111"/>
      <c r="E23" s="111"/>
      <c r="F23" s="59"/>
      <c r="K23" s="59"/>
    </row>
    <row r="24" spans="1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1:11" ht="29">
      <c r="B25" s="16" t="s">
        <v>4</v>
      </c>
      <c r="C25" s="17" t="s">
        <v>43</v>
      </c>
      <c r="D25" s="51">
        <v>165</v>
      </c>
      <c r="E25" s="50">
        <v>110</v>
      </c>
      <c r="K25" s="59"/>
    </row>
    <row r="26" spans="1:11" ht="30.75" customHeight="1">
      <c r="B26" s="16"/>
      <c r="C26" s="17"/>
      <c r="D26" s="51"/>
      <c r="E26" s="50"/>
      <c r="K26" s="59"/>
    </row>
    <row r="27" spans="1:11" ht="14.5">
      <c r="B27" s="16"/>
      <c r="C27" s="17"/>
      <c r="D27" s="18"/>
      <c r="E27" s="18"/>
      <c r="H27" s="59"/>
      <c r="J27" s="59"/>
      <c r="K27" s="59"/>
    </row>
    <row r="28" spans="1:11" ht="14.5">
      <c r="B28" s="16"/>
      <c r="C28" s="17"/>
      <c r="D28" s="18"/>
      <c r="E28" s="18"/>
    </row>
    <row r="29" spans="1:11" ht="14.5">
      <c r="B29" s="19"/>
      <c r="C29" s="20"/>
      <c r="D29" s="20"/>
      <c r="E29" s="20"/>
    </row>
    <row r="30" spans="1:11" ht="14.5">
      <c r="B30" s="19"/>
      <c r="C30" s="20"/>
      <c r="D30" s="20"/>
      <c r="E30" s="20"/>
    </row>
    <row r="31" spans="1:11" ht="14.5">
      <c r="B31" s="19"/>
      <c r="C31" s="20"/>
      <c r="D31" s="20"/>
      <c r="E31" s="20"/>
      <c r="I31" t="s">
        <v>6</v>
      </c>
    </row>
    <row r="32" spans="1:11" ht="141" customHeight="1">
      <c r="A32" s="59"/>
      <c r="B32" s="21"/>
      <c r="C32" s="22"/>
      <c r="D32" s="22"/>
      <c r="E32" s="22"/>
    </row>
    <row r="33" spans="1:6" ht="14.5">
      <c r="A33" s="113"/>
      <c r="B33" s="113"/>
      <c r="C33" s="137" t="s">
        <v>42</v>
      </c>
      <c r="D33" s="138"/>
      <c r="E33" s="139"/>
    </row>
    <row r="34" spans="1:6" ht="14.5">
      <c r="A34" s="114"/>
      <c r="B34" s="140"/>
      <c r="C34" s="140"/>
      <c r="D34" s="140"/>
      <c r="E34" s="140"/>
    </row>
    <row r="35" spans="1:6" ht="14.5">
      <c r="A35" s="141"/>
      <c r="B35" s="141"/>
      <c r="C35" s="141"/>
      <c r="D35" s="141"/>
      <c r="E35" s="141"/>
    </row>
    <row r="36" spans="1:6" ht="14.5">
      <c r="A36" s="114"/>
      <c r="B36" s="140"/>
      <c r="C36" s="140"/>
      <c r="D36" s="140"/>
      <c r="E36" s="140"/>
    </row>
    <row r="37" spans="1:6" ht="14.5">
      <c r="B37" s="59"/>
      <c r="C37" s="59"/>
      <c r="D37" s="59"/>
      <c r="E37" s="115"/>
    </row>
    <row r="38" spans="1:6" ht="14.5">
      <c r="B38" s="142"/>
      <c r="C38" s="142"/>
      <c r="D38" s="142"/>
      <c r="E38" s="142"/>
      <c r="F38" s="116"/>
    </row>
    <row r="39" spans="1:6" ht="14.5">
      <c r="B39" s="59"/>
      <c r="C39" s="59"/>
      <c r="D39" s="59"/>
      <c r="E39" s="59"/>
    </row>
  </sheetData>
  <mergeCells count="5">
    <mergeCell ref="C33:E33"/>
    <mergeCell ref="B34:E34"/>
    <mergeCell ref="A35:E35"/>
    <mergeCell ref="B36:E36"/>
    <mergeCell ref="B38:E38"/>
  </mergeCells>
  <pageMargins left="0.7" right="0.7" top="0.75" bottom="0.75" header="0.3" footer="0.3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1:L42"/>
  <sheetViews>
    <sheetView topLeftCell="A6" workbookViewId="0">
      <selection activeCell="C25" sqref="C25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s="2" customFormat="1" ht="29.25" customHeight="1">
      <c r="B20" s="11" t="s">
        <v>44</v>
      </c>
      <c r="C20" s="17" t="s">
        <v>43</v>
      </c>
      <c r="D20" s="99">
        <v>165</v>
      </c>
      <c r="E20" s="50">
        <v>110</v>
      </c>
      <c r="F20" s="100">
        <f>E20*D20</f>
        <v>18150</v>
      </c>
      <c r="L20" s="101"/>
    </row>
    <row r="21" spans="2:12" ht="14.5">
      <c r="B21" s="11"/>
      <c r="C21" s="12"/>
      <c r="D21" s="99"/>
      <c r="E21" s="50"/>
      <c r="F21" s="100"/>
      <c r="L21" s="59"/>
    </row>
    <row r="22" spans="2:12" ht="14.5">
      <c r="B22" s="102"/>
      <c r="C22" s="102"/>
      <c r="D22" s="102"/>
      <c r="E22" s="103"/>
      <c r="F22" s="102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22.5" customHeight="1">
      <c r="B24" s="102"/>
      <c r="C24" s="102"/>
      <c r="D24" s="102"/>
      <c r="E24" s="104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14.5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38</v>
      </c>
      <c r="C32" s="145"/>
      <c r="D32" s="107" t="s">
        <v>12</v>
      </c>
      <c r="E32" s="108"/>
      <c r="F32" s="58">
        <f>SUM(F20:F31)</f>
        <v>18150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18150</v>
      </c>
      <c r="C36" s="150"/>
      <c r="D36" s="147">
        <f>E36-B36</f>
        <v>3630</v>
      </c>
      <c r="E36" s="153">
        <f>B36*1.2-B37</f>
        <v>21780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B5:C16"/>
  <sheetViews>
    <sheetView topLeftCell="A4" workbookViewId="0">
      <selection activeCell="C20" sqref="C20"/>
    </sheetView>
  </sheetViews>
  <sheetFormatPr baseColWidth="10" defaultColWidth="11" defaultRowHeight="14.5"/>
  <cols>
    <col min="2" max="2" width="11.54296875" customWidth="1"/>
    <col min="3" max="3" width="34" customWidth="1"/>
    <col min="5" max="5" width="11.54296875" customWidth="1"/>
  </cols>
  <sheetData>
    <row r="5" spans="2:3">
      <c r="B5" t="s">
        <v>0</v>
      </c>
      <c r="C5" t="s">
        <v>45</v>
      </c>
    </row>
    <row r="6" spans="2:3">
      <c r="B6" t="s">
        <v>46</v>
      </c>
      <c r="C6" t="s">
        <v>47</v>
      </c>
    </row>
    <row r="7" spans="2:3">
      <c r="B7" t="s">
        <v>46</v>
      </c>
      <c r="C7" t="s">
        <v>48</v>
      </c>
    </row>
    <row r="8" spans="2:3" ht="29">
      <c r="B8" t="s">
        <v>49</v>
      </c>
      <c r="C8" s="8" t="s">
        <v>50</v>
      </c>
    </row>
    <row r="9" spans="2:3" s="63" customFormat="1" ht="28.5" customHeight="1">
      <c r="B9" s="63" t="s">
        <v>51</v>
      </c>
      <c r="C9" s="122" t="s">
        <v>52</v>
      </c>
    </row>
    <row r="10" spans="2:3">
      <c r="B10" t="s">
        <v>53</v>
      </c>
      <c r="C10" t="s">
        <v>54</v>
      </c>
    </row>
    <row r="11" spans="2:3">
      <c r="B11" t="s">
        <v>55</v>
      </c>
      <c r="C11" t="s">
        <v>56</v>
      </c>
    </row>
    <row r="12" spans="2:3">
      <c r="B12" t="s">
        <v>57</v>
      </c>
      <c r="C12" t="s">
        <v>58</v>
      </c>
    </row>
    <row r="13" spans="2:3" ht="29">
      <c r="B13" t="s">
        <v>59</v>
      </c>
      <c r="C13" s="8" t="s">
        <v>60</v>
      </c>
    </row>
    <row r="14" spans="2:3" ht="72.5">
      <c r="B14" t="s">
        <v>61</v>
      </c>
      <c r="C14" s="8" t="s">
        <v>62</v>
      </c>
    </row>
    <row r="15" spans="2:3" ht="29">
      <c r="B15" t="s">
        <v>63</v>
      </c>
      <c r="C15" s="8" t="s">
        <v>64</v>
      </c>
    </row>
    <row r="16" spans="2:3" ht="29">
      <c r="B16" t="s">
        <v>65</v>
      </c>
      <c r="C16" s="17" t="s">
        <v>43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1:L42"/>
  <sheetViews>
    <sheetView workbookViewId="0">
      <selection sqref="A1:XFD1048576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ht="29">
      <c r="B20" s="11" t="s">
        <v>4</v>
      </c>
      <c r="C20" s="17" t="s">
        <v>5</v>
      </c>
      <c r="D20" s="99">
        <v>2140</v>
      </c>
      <c r="E20" s="50">
        <v>17.100000000000001</v>
      </c>
      <c r="F20" s="100">
        <f>D20*E20</f>
        <v>36594</v>
      </c>
      <c r="L20" s="59"/>
    </row>
    <row r="21" spans="2:12" s="2" customFormat="1" ht="29.25" customHeight="1">
      <c r="B21" s="11" t="s">
        <v>44</v>
      </c>
      <c r="C21" s="17" t="s">
        <v>43</v>
      </c>
      <c r="D21" s="99">
        <v>45</v>
      </c>
      <c r="E21" s="50">
        <v>110</v>
      </c>
      <c r="F21" s="100">
        <f>E21*D21</f>
        <v>4950</v>
      </c>
      <c r="L21" s="101"/>
    </row>
    <row r="22" spans="2:12" ht="14.5">
      <c r="B22" s="11"/>
      <c r="C22" s="12"/>
      <c r="D22" s="99"/>
      <c r="E22" s="50"/>
      <c r="F22" s="100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14.5">
      <c r="B24" s="102"/>
      <c r="C24" s="102"/>
      <c r="D24" s="102"/>
      <c r="E24" s="103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22.5" customHeight="1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44" t="s">
        <v>66</v>
      </c>
      <c r="C32" s="145"/>
      <c r="D32" s="107" t="s">
        <v>12</v>
      </c>
      <c r="E32" s="108"/>
      <c r="F32" s="58">
        <f>SUM(F20:F31)</f>
        <v>41544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41544</v>
      </c>
      <c r="C36" s="150"/>
      <c r="D36" s="147">
        <f>E36-B36</f>
        <v>8308.7999999999993</v>
      </c>
      <c r="E36" s="153">
        <f>B36*1.2-B37</f>
        <v>49852.800000000003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K40"/>
  <sheetViews>
    <sheetView topLeftCell="A19" workbookViewId="0">
      <selection activeCell="C29" sqref="C29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2:11" ht="14.5">
      <c r="D17" s="5"/>
      <c r="E17" s="6"/>
    </row>
    <row r="18" spans="2:11" ht="14.5">
      <c r="D18" s="5"/>
      <c r="E18" s="6"/>
    </row>
    <row r="19" spans="2:11" ht="14.5">
      <c r="B19" s="96"/>
      <c r="D19" s="8"/>
      <c r="E19" s="8"/>
      <c r="F19" s="59"/>
    </row>
    <row r="20" spans="2:11" ht="14.5">
      <c r="B20" s="97"/>
      <c r="D20" s="8"/>
      <c r="E20" s="8"/>
      <c r="F20" s="59"/>
    </row>
    <row r="21" spans="2:11" ht="14.5">
      <c r="B21" s="97"/>
      <c r="D21" s="8"/>
      <c r="E21" s="8"/>
      <c r="F21" s="59"/>
    </row>
    <row r="22" spans="2:11" ht="14.5">
      <c r="B22" s="97"/>
      <c r="D22" s="8"/>
      <c r="E22" s="8"/>
      <c r="F22" s="59"/>
    </row>
    <row r="23" spans="2:11" ht="14.5">
      <c r="B23" s="97"/>
      <c r="D23" s="111"/>
      <c r="E23" s="111"/>
      <c r="F23" s="59"/>
      <c r="K23" s="59"/>
    </row>
    <row r="24" spans="2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2:11" ht="29">
      <c r="B25" s="11" t="s">
        <v>4</v>
      </c>
      <c r="C25" s="17" t="s">
        <v>5</v>
      </c>
      <c r="D25" s="99">
        <v>2140</v>
      </c>
      <c r="E25" s="50">
        <v>17.100000000000001</v>
      </c>
      <c r="K25" s="59"/>
    </row>
    <row r="26" spans="2:11" ht="29">
      <c r="B26" s="16" t="s">
        <v>44</v>
      </c>
      <c r="C26" s="17" t="s">
        <v>43</v>
      </c>
      <c r="D26" s="51">
        <v>45</v>
      </c>
      <c r="E26" s="50">
        <v>110</v>
      </c>
      <c r="K26" s="59"/>
    </row>
    <row r="27" spans="2:11" ht="30.75" customHeight="1">
      <c r="B27" s="16"/>
      <c r="C27" s="17"/>
      <c r="D27" s="51"/>
      <c r="E27" s="50"/>
      <c r="K27" s="59"/>
    </row>
    <row r="28" spans="2:11" ht="14.5">
      <c r="B28" s="16"/>
      <c r="C28" s="17"/>
      <c r="D28" s="18"/>
      <c r="E28" s="18"/>
      <c r="H28" s="59"/>
      <c r="J28" s="59"/>
      <c r="K28" s="59"/>
    </row>
    <row r="29" spans="2:11" ht="14.5">
      <c r="B29" s="16"/>
      <c r="C29" s="17"/>
      <c r="D29" s="18"/>
      <c r="E29" s="18"/>
    </row>
    <row r="30" spans="2:11" ht="14.5">
      <c r="B30" s="19"/>
      <c r="C30" s="20"/>
      <c r="D30" s="20"/>
      <c r="E30" s="20"/>
    </row>
    <row r="31" spans="2:11" ht="14.5">
      <c r="B31" s="19"/>
      <c r="C31" s="20"/>
      <c r="D31" s="20"/>
      <c r="E31" s="20"/>
    </row>
    <row r="32" spans="2:11" ht="14.5">
      <c r="B32" s="19"/>
      <c r="C32" s="20"/>
      <c r="D32" s="20"/>
      <c r="E32" s="20"/>
      <c r="I32" t="s">
        <v>6</v>
      </c>
    </row>
    <row r="33" spans="1:6" ht="141" customHeight="1">
      <c r="A33" s="59"/>
      <c r="B33" s="21"/>
      <c r="C33" s="22"/>
      <c r="D33" s="22"/>
      <c r="E33" s="22"/>
    </row>
    <row r="34" spans="1:6" ht="14.5">
      <c r="A34" s="113"/>
      <c r="B34" s="113"/>
      <c r="C34" s="137" t="s">
        <v>67</v>
      </c>
      <c r="D34" s="138"/>
      <c r="E34" s="139"/>
    </row>
    <row r="35" spans="1:6" ht="14.5">
      <c r="A35" s="114"/>
      <c r="B35" s="140"/>
      <c r="C35" s="140"/>
      <c r="D35" s="140"/>
      <c r="E35" s="140"/>
    </row>
    <row r="36" spans="1:6" ht="14.5">
      <c r="A36" s="141"/>
      <c r="B36" s="141"/>
      <c r="C36" s="141"/>
      <c r="D36" s="141"/>
      <c r="E36" s="141"/>
    </row>
    <row r="37" spans="1:6" ht="14.5">
      <c r="A37" s="114"/>
      <c r="B37" s="140"/>
      <c r="C37" s="140"/>
      <c r="D37" s="140"/>
      <c r="E37" s="140"/>
    </row>
    <row r="38" spans="1:6" ht="14.5">
      <c r="B38" s="59"/>
      <c r="C38" s="59"/>
      <c r="D38" s="59"/>
      <c r="E38" s="115"/>
    </row>
    <row r="39" spans="1:6" ht="14.5">
      <c r="B39" s="142"/>
      <c r="C39" s="142"/>
      <c r="D39" s="142"/>
      <c r="E39" s="142"/>
      <c r="F39" s="116"/>
    </row>
    <row r="40" spans="1:6" ht="14.5">
      <c r="B40" s="59"/>
      <c r="C40" s="59"/>
      <c r="D40" s="59"/>
      <c r="E40" s="59"/>
    </row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K40"/>
  <sheetViews>
    <sheetView workbookViewId="0">
      <selection activeCell="C3" sqref="C3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2:11" ht="14.5">
      <c r="D17" s="5"/>
      <c r="E17" s="6"/>
    </row>
    <row r="18" spans="2:11" ht="14.5">
      <c r="D18" s="5"/>
      <c r="E18" s="6"/>
    </row>
    <row r="19" spans="2:11" ht="14.5">
      <c r="B19" s="96"/>
      <c r="D19" s="8"/>
      <c r="E19" s="8"/>
      <c r="F19" s="59"/>
    </row>
    <row r="20" spans="2:11" ht="14.5">
      <c r="B20" s="97"/>
      <c r="D20" s="8"/>
      <c r="E20" s="8"/>
      <c r="F20" s="59"/>
    </row>
    <row r="21" spans="2:11" ht="14.5">
      <c r="B21" s="97"/>
      <c r="D21" s="8"/>
      <c r="E21" s="8"/>
      <c r="F21" s="59"/>
    </row>
    <row r="22" spans="2:11" ht="14.5">
      <c r="B22" s="97"/>
      <c r="D22" s="8"/>
      <c r="E22" s="8"/>
      <c r="F22" s="59"/>
    </row>
    <row r="23" spans="2:11" ht="14.5">
      <c r="B23" s="97"/>
      <c r="D23" s="111"/>
      <c r="E23" s="111"/>
      <c r="F23" s="59"/>
      <c r="K23" s="59"/>
    </row>
    <row r="24" spans="2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2:11" s="63" customFormat="1" ht="37.5" customHeight="1">
      <c r="B25" s="117" t="s">
        <v>4</v>
      </c>
      <c r="C25" s="12" t="s">
        <v>41</v>
      </c>
      <c r="D25" s="118">
        <v>5800</v>
      </c>
      <c r="E25" s="14">
        <v>17.100000000000001</v>
      </c>
      <c r="K25" s="121"/>
    </row>
    <row r="26" spans="2:11" s="63" customFormat="1" ht="53.25" customHeight="1">
      <c r="B26" s="19" t="s">
        <v>27</v>
      </c>
      <c r="C26" s="12" t="s">
        <v>68</v>
      </c>
      <c r="D26" s="120">
        <v>510</v>
      </c>
      <c r="E26" s="14">
        <v>38</v>
      </c>
      <c r="K26" s="121"/>
    </row>
    <row r="27" spans="2:11" s="63" customFormat="1" ht="39.75" customHeight="1">
      <c r="B27" s="19" t="s">
        <v>44</v>
      </c>
      <c r="C27" s="12" t="s">
        <v>43</v>
      </c>
      <c r="D27" s="120">
        <v>90</v>
      </c>
      <c r="E27" s="14">
        <v>110</v>
      </c>
      <c r="K27" s="121"/>
    </row>
    <row r="28" spans="2:11" s="63" customFormat="1" ht="14.5">
      <c r="B28" s="19"/>
      <c r="C28" s="12"/>
      <c r="D28" s="20"/>
      <c r="E28" s="20"/>
      <c r="H28" s="121"/>
      <c r="J28" s="121"/>
      <c r="K28" s="121"/>
    </row>
    <row r="29" spans="2:11" ht="14.5">
      <c r="B29" s="16"/>
      <c r="C29" s="17"/>
      <c r="D29" s="18"/>
      <c r="E29" s="18"/>
    </row>
    <row r="30" spans="2:11" ht="14.5">
      <c r="B30" s="19"/>
      <c r="C30" s="20"/>
      <c r="D30" s="20"/>
      <c r="E30" s="20"/>
    </row>
    <row r="31" spans="2:11" ht="14.5">
      <c r="B31" s="19"/>
      <c r="C31" s="20"/>
      <c r="D31" s="20"/>
      <c r="E31" s="20"/>
    </row>
    <row r="32" spans="2:11" ht="14.5">
      <c r="B32" s="19"/>
      <c r="C32" s="20"/>
      <c r="D32" s="20"/>
      <c r="E32" s="20"/>
      <c r="I32" t="s">
        <v>6</v>
      </c>
    </row>
    <row r="33" spans="1:6" ht="14.5">
      <c r="A33" s="59"/>
      <c r="B33" s="21"/>
      <c r="C33" s="22"/>
      <c r="D33" s="22"/>
      <c r="E33" s="22"/>
    </row>
    <row r="34" spans="1:6" ht="14.5">
      <c r="A34" s="113"/>
      <c r="B34" s="113"/>
      <c r="C34" s="137" t="s">
        <v>69</v>
      </c>
      <c r="D34" s="138"/>
      <c r="E34" s="139"/>
    </row>
    <row r="35" spans="1:6" ht="14.5">
      <c r="A35" s="114"/>
      <c r="B35" s="140"/>
      <c r="C35" s="140"/>
      <c r="D35" s="140"/>
      <c r="E35" s="140"/>
    </row>
    <row r="36" spans="1:6" ht="14.5">
      <c r="A36" s="141"/>
      <c r="B36" s="141"/>
      <c r="C36" s="141"/>
      <c r="D36" s="141"/>
      <c r="E36" s="141"/>
    </row>
    <row r="37" spans="1:6" ht="14.5">
      <c r="A37" s="114"/>
      <c r="B37" s="140"/>
      <c r="C37" s="140"/>
      <c r="D37" s="140"/>
      <c r="E37" s="140"/>
    </row>
    <row r="38" spans="1:6" ht="14.5">
      <c r="B38" s="59"/>
      <c r="C38" s="59"/>
      <c r="D38" s="59"/>
      <c r="E38" s="115"/>
    </row>
    <row r="39" spans="1:6" ht="14.5">
      <c r="B39" s="142"/>
      <c r="C39" s="142"/>
      <c r="D39" s="142"/>
      <c r="E39" s="142"/>
      <c r="F39" s="116"/>
    </row>
    <row r="40" spans="1:6" ht="14.5">
      <c r="B40" s="59"/>
      <c r="C40" s="59"/>
      <c r="D40" s="59"/>
      <c r="E40" s="59"/>
    </row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B1:L41"/>
  <sheetViews>
    <sheetView topLeftCell="A7" workbookViewId="0">
      <selection activeCell="H28" sqref="H28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ht="36.75" customHeight="1">
      <c r="B20" s="117" t="s">
        <v>4</v>
      </c>
      <c r="C20" s="12" t="s">
        <v>41</v>
      </c>
      <c r="D20" s="118">
        <v>5800</v>
      </c>
      <c r="E20" s="14">
        <v>17.100000000000001</v>
      </c>
      <c r="F20" s="119">
        <f>D20*E20</f>
        <v>99180</v>
      </c>
      <c r="L20" s="59"/>
    </row>
    <row r="21" spans="2:12" s="2" customFormat="1" ht="55.5" customHeight="1">
      <c r="B21" s="19" t="s">
        <v>27</v>
      </c>
      <c r="C21" s="12" t="s">
        <v>68</v>
      </c>
      <c r="D21" s="120">
        <v>510</v>
      </c>
      <c r="E21" s="14">
        <v>38</v>
      </c>
      <c r="F21" s="119">
        <f>E21*D21</f>
        <v>19380</v>
      </c>
      <c r="L21" s="101"/>
    </row>
    <row r="22" spans="2:12" ht="39.75" customHeight="1">
      <c r="B22" s="19" t="s">
        <v>44</v>
      </c>
      <c r="C22" s="12" t="s">
        <v>43</v>
      </c>
      <c r="D22" s="120">
        <v>90</v>
      </c>
      <c r="E22" s="14">
        <v>110</v>
      </c>
      <c r="F22" s="119">
        <f>E22*D22</f>
        <v>9900</v>
      </c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14.5">
      <c r="B24" s="102"/>
      <c r="C24" s="102"/>
      <c r="D24" s="102"/>
      <c r="E24" s="103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22.5" customHeight="1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I27" s="59"/>
      <c r="K27" s="59"/>
      <c r="L27" s="59"/>
    </row>
    <row r="28" spans="2:12" ht="14.5">
      <c r="B28" s="102"/>
      <c r="C28" s="102"/>
      <c r="D28" s="102"/>
      <c r="E28" s="104"/>
      <c r="F28" s="102"/>
    </row>
    <row r="29" spans="2:12" ht="14.5">
      <c r="B29" s="102"/>
      <c r="C29" s="102"/>
      <c r="D29" s="102"/>
      <c r="E29" s="104"/>
      <c r="F29" s="102"/>
    </row>
    <row r="30" spans="2:12" ht="45" customHeight="1">
      <c r="B30" s="105"/>
      <c r="C30" s="105"/>
      <c r="D30" s="105"/>
      <c r="E30" s="106"/>
      <c r="F30" s="105"/>
    </row>
    <row r="31" spans="2:12" ht="25.5" customHeight="1">
      <c r="B31" s="144" t="s">
        <v>70</v>
      </c>
      <c r="C31" s="145"/>
      <c r="D31" s="107" t="s">
        <v>12</v>
      </c>
      <c r="E31" s="108"/>
      <c r="F31" s="58">
        <f>SUM(F20:F30)</f>
        <v>128460</v>
      </c>
      <c r="I31" t="s">
        <v>13</v>
      </c>
    </row>
    <row r="32" spans="2:12" ht="15.5">
      <c r="B32" s="60"/>
      <c r="C32" s="60"/>
      <c r="D32" s="103"/>
      <c r="E32" s="103"/>
      <c r="F32" s="38"/>
      <c r="J32" s="62"/>
    </row>
    <row r="33" spans="2:10" ht="15.5">
      <c r="B33" s="60"/>
      <c r="C33" s="60"/>
      <c r="D33" s="103"/>
      <c r="E33" s="103"/>
      <c r="F33" s="38"/>
    </row>
    <row r="34" spans="2:10" s="40" customFormat="1" ht="14.5">
      <c r="B34" s="146" t="s">
        <v>14</v>
      </c>
      <c r="C34" s="146"/>
      <c r="D34" s="109" t="s">
        <v>15</v>
      </c>
      <c r="E34" s="146" t="s">
        <v>16</v>
      </c>
      <c r="F34" s="146"/>
      <c r="I34" s="110"/>
    </row>
    <row r="35" spans="2:10" ht="14.5">
      <c r="B35" s="149">
        <f>F31</f>
        <v>128460</v>
      </c>
      <c r="C35" s="150"/>
      <c r="D35" s="147">
        <f>E35-B35</f>
        <v>25692</v>
      </c>
      <c r="E35" s="153">
        <f>B35*1.2-B36</f>
        <v>154152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s="59" customFormat="1" ht="14.5"/>
    <row r="40" spans="2:10" ht="14.5">
      <c r="B40" s="59"/>
      <c r="C40" s="59"/>
      <c r="D40" s="59"/>
      <c r="E40" s="59"/>
      <c r="F40" s="59"/>
    </row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pageSetup paperSize="9" orientation="portrait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K40"/>
  <sheetViews>
    <sheetView topLeftCell="A13" workbookViewId="0">
      <selection activeCell="B42" sqref="B42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6" ht="14.5">
      <c r="E1" s="94"/>
      <c r="F1" s="94"/>
    </row>
    <row r="2" spans="4:6" ht="14.5">
      <c r="D2" s="1"/>
      <c r="E2" s="2"/>
      <c r="F2" s="94"/>
    </row>
    <row r="3" spans="4:6" ht="14.5">
      <c r="D3" s="1"/>
      <c r="E3" s="2"/>
      <c r="F3" s="94"/>
    </row>
    <row r="4" spans="4:6" ht="14.5">
      <c r="D4" s="1"/>
      <c r="E4" s="2"/>
      <c r="F4" s="94"/>
    </row>
    <row r="5" spans="4:6" ht="14.5">
      <c r="D5" s="1"/>
      <c r="E5" s="2"/>
      <c r="F5" s="94"/>
    </row>
    <row r="6" spans="4:6" ht="14.5">
      <c r="D6" s="3"/>
      <c r="E6" s="2"/>
      <c r="F6" s="94"/>
    </row>
    <row r="7" spans="4:6" ht="14.5">
      <c r="D7" s="3"/>
      <c r="E7" s="2"/>
      <c r="F7" s="94"/>
    </row>
    <row r="8" spans="4:6" ht="14.5">
      <c r="D8" s="3"/>
      <c r="E8" s="2"/>
      <c r="F8" s="94"/>
    </row>
    <row r="9" spans="4:6" ht="14.5">
      <c r="D9" s="4"/>
      <c r="E9" s="94"/>
      <c r="F9" s="94"/>
    </row>
    <row r="10" spans="4:6" ht="14.5">
      <c r="D10" s="95"/>
      <c r="E10" s="94"/>
      <c r="F10" s="94"/>
    </row>
    <row r="11" spans="4:6" ht="14.5">
      <c r="D11" s="5"/>
      <c r="E11" s="6"/>
    </row>
    <row r="12" spans="4:6" ht="14.5">
      <c r="D12" s="5"/>
      <c r="E12" s="6"/>
    </row>
    <row r="13" spans="4:6" ht="14.5">
      <c r="D13" s="5"/>
      <c r="E13" s="6"/>
    </row>
    <row r="14" spans="4:6" ht="14.5">
      <c r="D14" s="5"/>
      <c r="E14" s="6"/>
    </row>
    <row r="15" spans="4:6" ht="14.5">
      <c r="D15" s="5"/>
      <c r="E15" s="6"/>
    </row>
    <row r="16" spans="4:6" ht="14.5">
      <c r="D16" s="5"/>
      <c r="E16" s="6"/>
    </row>
    <row r="17" spans="2:11" ht="14.5">
      <c r="D17" s="5"/>
      <c r="E17" s="6"/>
    </row>
    <row r="18" spans="2:11" ht="14.5">
      <c r="D18" s="5"/>
      <c r="E18" s="6"/>
    </row>
    <row r="19" spans="2:11" ht="14.5">
      <c r="B19" s="96"/>
      <c r="D19" s="8"/>
      <c r="E19" s="8"/>
      <c r="F19" s="59"/>
    </row>
    <row r="20" spans="2:11" ht="14.5">
      <c r="B20" s="97"/>
      <c r="D20" s="8"/>
      <c r="E20" s="8"/>
      <c r="F20" s="59"/>
    </row>
    <row r="21" spans="2:11" ht="14.5">
      <c r="B21" s="97"/>
      <c r="D21" s="8"/>
      <c r="E21" s="8"/>
      <c r="F21" s="59"/>
    </row>
    <row r="22" spans="2:11" ht="14.5">
      <c r="B22" s="97"/>
      <c r="D22" s="8"/>
      <c r="E22" s="8"/>
      <c r="F22" s="59"/>
    </row>
    <row r="23" spans="2:11" ht="14.5">
      <c r="B23" s="97"/>
      <c r="D23" s="111"/>
      <c r="E23" s="111"/>
      <c r="F23" s="59"/>
      <c r="K23" s="59"/>
    </row>
    <row r="24" spans="2:11" ht="14.5">
      <c r="B24" s="112" t="s">
        <v>0</v>
      </c>
      <c r="C24" s="112" t="s">
        <v>1</v>
      </c>
      <c r="D24" s="112" t="s">
        <v>2</v>
      </c>
      <c r="E24" s="112" t="s">
        <v>3</v>
      </c>
      <c r="K24" s="59"/>
    </row>
    <row r="25" spans="2:11" ht="29">
      <c r="B25" s="11" t="s">
        <v>4</v>
      </c>
      <c r="C25" s="17" t="s">
        <v>71</v>
      </c>
      <c r="D25" s="99">
        <v>2000</v>
      </c>
      <c r="E25" s="50">
        <v>17.100000000000001</v>
      </c>
      <c r="K25" s="59"/>
    </row>
    <row r="26" spans="2:11" ht="14.5">
      <c r="B26" s="16"/>
      <c r="C26" s="17"/>
      <c r="D26" s="51"/>
      <c r="E26" s="50"/>
      <c r="K26" s="59"/>
    </row>
    <row r="27" spans="2:11" ht="30.75" customHeight="1">
      <c r="B27" s="16"/>
      <c r="C27" s="17"/>
      <c r="D27" s="51"/>
      <c r="E27" s="50"/>
      <c r="K27" s="59"/>
    </row>
    <row r="28" spans="2:11" ht="14.5">
      <c r="B28" s="16"/>
      <c r="C28" s="17"/>
      <c r="D28" s="18"/>
      <c r="E28" s="18"/>
      <c r="H28" s="59"/>
      <c r="J28" s="59"/>
      <c r="K28" s="59"/>
    </row>
    <row r="29" spans="2:11" ht="14.5">
      <c r="B29" s="16"/>
      <c r="C29" s="17"/>
      <c r="D29" s="18"/>
      <c r="E29" s="18"/>
    </row>
    <row r="30" spans="2:11" ht="14.5">
      <c r="B30" s="19"/>
      <c r="C30" s="20"/>
      <c r="D30" s="20"/>
      <c r="E30" s="20"/>
    </row>
    <row r="31" spans="2:11" ht="14.5">
      <c r="B31" s="19"/>
      <c r="C31" s="20"/>
      <c r="D31" s="20"/>
      <c r="E31" s="20"/>
    </row>
    <row r="32" spans="2:11" ht="14.5">
      <c r="B32" s="19"/>
      <c r="C32" s="20"/>
      <c r="D32" s="20"/>
      <c r="E32" s="20"/>
      <c r="I32" t="s">
        <v>6</v>
      </c>
    </row>
    <row r="33" spans="1:6" ht="14.5">
      <c r="A33" s="59"/>
      <c r="B33" s="21"/>
      <c r="C33" s="22"/>
      <c r="D33" s="22"/>
      <c r="E33" s="22"/>
    </row>
    <row r="34" spans="1:6" ht="14.5">
      <c r="A34" s="113"/>
      <c r="B34" s="113"/>
      <c r="C34" s="137" t="s">
        <v>72</v>
      </c>
      <c r="D34" s="138"/>
      <c r="E34" s="139"/>
    </row>
    <row r="35" spans="1:6" ht="14.5">
      <c r="A35" s="114"/>
      <c r="B35" s="140"/>
      <c r="C35" s="140"/>
      <c r="D35" s="140"/>
      <c r="E35" s="140"/>
    </row>
    <row r="36" spans="1:6" ht="14.5">
      <c r="A36" s="141"/>
      <c r="B36" s="141"/>
      <c r="C36" s="141"/>
      <c r="D36" s="141"/>
      <c r="E36" s="141"/>
    </row>
    <row r="37" spans="1:6" ht="14.5">
      <c r="A37" s="114"/>
      <c r="B37" s="140"/>
      <c r="C37" s="140"/>
      <c r="D37" s="140"/>
      <c r="E37" s="140"/>
    </row>
    <row r="38" spans="1:6" ht="14.5">
      <c r="B38" s="59"/>
      <c r="C38" s="59"/>
      <c r="D38" s="59"/>
      <c r="E38" s="115"/>
    </row>
    <row r="39" spans="1:6" ht="14.5">
      <c r="B39" s="142"/>
      <c r="C39" s="142"/>
      <c r="D39" s="142"/>
      <c r="E39" s="142"/>
      <c r="F39" s="116"/>
    </row>
    <row r="40" spans="1:6" ht="14.5">
      <c r="B40" s="59"/>
      <c r="C40" s="59"/>
      <c r="D40" s="59"/>
      <c r="E40" s="59"/>
    </row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B1:L42"/>
  <sheetViews>
    <sheetView workbookViewId="0">
      <selection sqref="A1:XFD1048576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7" ht="14.5">
      <c r="E1" s="94"/>
      <c r="F1" s="94"/>
      <c r="G1" s="94"/>
    </row>
    <row r="2" spans="2:7" ht="14.5">
      <c r="D2" s="1"/>
      <c r="E2" s="2"/>
      <c r="F2" s="2"/>
      <c r="G2" s="94"/>
    </row>
    <row r="3" spans="2:7" ht="14.5">
      <c r="D3" s="1"/>
      <c r="E3" s="2"/>
      <c r="F3" s="2"/>
      <c r="G3" s="94"/>
    </row>
    <row r="4" spans="2:7" ht="14.5">
      <c r="D4" s="1"/>
      <c r="E4" s="2"/>
      <c r="F4" s="2"/>
      <c r="G4" s="94"/>
    </row>
    <row r="5" spans="2:7" ht="14.5">
      <c r="D5" s="1"/>
      <c r="E5" s="2"/>
      <c r="F5" s="2"/>
      <c r="G5" s="94"/>
    </row>
    <row r="6" spans="2:7" ht="15.5">
      <c r="B6" s="143"/>
      <c r="C6" s="143"/>
      <c r="D6" s="3"/>
      <c r="E6" s="2"/>
      <c r="F6" s="2"/>
      <c r="G6" s="94"/>
    </row>
    <row r="7" spans="2:7" ht="14.5">
      <c r="D7" s="4"/>
      <c r="F7" s="94"/>
      <c r="G7" s="94"/>
    </row>
    <row r="8" spans="2:7" ht="14.5">
      <c r="D8" s="95"/>
      <c r="E8" s="94"/>
      <c r="F8" s="94"/>
      <c r="G8" s="94"/>
    </row>
    <row r="9" spans="2:7" ht="14.5">
      <c r="D9" s="5"/>
      <c r="E9" s="94"/>
      <c r="F9" s="6"/>
    </row>
    <row r="10" spans="2:7" ht="14.5">
      <c r="D10" s="5"/>
      <c r="E10" s="94"/>
      <c r="F10" s="6"/>
    </row>
    <row r="11" spans="2:7" ht="14.5">
      <c r="D11" s="5"/>
      <c r="E11" s="94"/>
      <c r="F11" s="6"/>
    </row>
    <row r="12" spans="2:7" ht="14.5">
      <c r="D12" s="5"/>
      <c r="E12" s="94"/>
      <c r="F12" s="6"/>
    </row>
    <row r="13" spans="2:7" ht="14.5">
      <c r="D13" s="5"/>
      <c r="E13" s="94"/>
      <c r="F13" s="6"/>
    </row>
    <row r="14" spans="2:7" ht="14.5">
      <c r="D14" s="5"/>
      <c r="E14" s="94"/>
      <c r="F14" s="6"/>
    </row>
    <row r="15" spans="2:7" ht="14.5">
      <c r="B15" s="96"/>
      <c r="D15" s="26"/>
      <c r="E15" s="8"/>
      <c r="F15" s="8"/>
      <c r="G15" s="59"/>
    </row>
    <row r="16" spans="2:7" ht="14.5">
      <c r="B16" s="97"/>
      <c r="D16" s="8"/>
      <c r="E16" s="8"/>
      <c r="F16" s="8"/>
      <c r="G16" s="59"/>
    </row>
    <row r="17" spans="2:12" ht="14.5">
      <c r="B17" s="97"/>
      <c r="D17" s="8"/>
      <c r="E17" s="8"/>
      <c r="F17" s="8"/>
      <c r="G17" s="59"/>
    </row>
    <row r="18" spans="2:12" ht="14.5">
      <c r="B18" s="97"/>
      <c r="D18" s="8"/>
      <c r="E18" s="8"/>
      <c r="F18" s="8"/>
      <c r="G18" s="59"/>
    </row>
    <row r="19" spans="2:12" ht="14.5">
      <c r="B19" s="98" t="s">
        <v>0</v>
      </c>
      <c r="C19" s="98" t="s">
        <v>1</v>
      </c>
      <c r="D19" s="98" t="s">
        <v>8</v>
      </c>
      <c r="E19" s="98" t="s">
        <v>9</v>
      </c>
      <c r="F19" s="98" t="s">
        <v>10</v>
      </c>
      <c r="L19" s="59"/>
    </row>
    <row r="20" spans="2:12" ht="29">
      <c r="B20" s="11" t="s">
        <v>4</v>
      </c>
      <c r="C20" s="17" t="s">
        <v>71</v>
      </c>
      <c r="D20" s="99">
        <v>2000</v>
      </c>
      <c r="E20" s="50">
        <v>17.100000000000001</v>
      </c>
      <c r="F20" s="100">
        <f>D20*E20</f>
        <v>34200</v>
      </c>
      <c r="L20" s="59"/>
    </row>
    <row r="21" spans="2:12" s="2" customFormat="1" ht="29.25" customHeight="1">
      <c r="B21" s="11"/>
      <c r="C21" s="17"/>
      <c r="D21" s="99"/>
      <c r="E21" s="50"/>
      <c r="F21" s="100"/>
      <c r="L21" s="101"/>
    </row>
    <row r="22" spans="2:12" ht="14.5">
      <c r="B22" s="11"/>
      <c r="C22" s="12"/>
      <c r="D22" s="99"/>
      <c r="E22" s="50"/>
      <c r="F22" s="100"/>
      <c r="L22" s="59"/>
    </row>
    <row r="23" spans="2:12" ht="14.5">
      <c r="B23" s="102"/>
      <c r="C23" s="102"/>
      <c r="D23" s="102"/>
      <c r="E23" s="103"/>
      <c r="F23" s="102"/>
      <c r="L23" s="59"/>
    </row>
    <row r="24" spans="2:12" ht="14.5">
      <c r="B24" s="102"/>
      <c r="C24" s="102"/>
      <c r="D24" s="102"/>
      <c r="E24" s="103"/>
      <c r="F24" s="102"/>
      <c r="L24" s="59"/>
    </row>
    <row r="25" spans="2:12" ht="22.5" customHeight="1">
      <c r="B25" s="102"/>
      <c r="C25" s="102"/>
      <c r="D25" s="102"/>
      <c r="E25" s="104"/>
      <c r="F25" s="102"/>
      <c r="L25" s="59"/>
    </row>
    <row r="26" spans="2:12" ht="22.5" customHeight="1">
      <c r="B26" s="102"/>
      <c r="C26" s="102"/>
      <c r="D26" s="102"/>
      <c r="E26" s="104"/>
      <c r="F26" s="102"/>
      <c r="L26" s="59"/>
    </row>
    <row r="27" spans="2:12" ht="14.5">
      <c r="B27" s="102"/>
      <c r="C27" s="102"/>
      <c r="D27" s="102"/>
      <c r="E27" s="104"/>
      <c r="F27" s="102"/>
      <c r="L27" s="59"/>
    </row>
    <row r="28" spans="2:12" ht="14.5">
      <c r="B28" s="102"/>
      <c r="C28" s="102"/>
      <c r="D28" s="102"/>
      <c r="E28" s="104"/>
      <c r="F28" s="102"/>
      <c r="I28" s="59"/>
      <c r="K28" s="59"/>
      <c r="L28" s="59"/>
    </row>
    <row r="29" spans="2:12" ht="14.5">
      <c r="B29" s="102"/>
      <c r="C29" s="102"/>
      <c r="D29" s="102"/>
      <c r="E29" s="104"/>
      <c r="F29" s="102"/>
    </row>
    <row r="30" spans="2:12" ht="14.5">
      <c r="B30" s="102"/>
      <c r="C30" s="102"/>
      <c r="D30" s="102"/>
      <c r="E30" s="104"/>
      <c r="F30" s="102"/>
    </row>
    <row r="31" spans="2:12" ht="45" customHeight="1">
      <c r="B31" s="105"/>
      <c r="C31" s="105"/>
      <c r="D31" s="105"/>
      <c r="E31" s="106"/>
      <c r="F31" s="105"/>
    </row>
    <row r="32" spans="2:12" ht="25.5" customHeight="1">
      <c r="B32" s="160" t="s">
        <v>73</v>
      </c>
      <c r="C32" s="161"/>
      <c r="D32" s="107" t="s">
        <v>12</v>
      </c>
      <c r="E32" s="108"/>
      <c r="F32" s="58">
        <f>SUM(F20:F31)</f>
        <v>34200</v>
      </c>
      <c r="I32" t="s">
        <v>13</v>
      </c>
    </row>
    <row r="33" spans="2:10" ht="15.5">
      <c r="B33" s="60"/>
      <c r="C33" s="60"/>
      <c r="D33" s="103"/>
      <c r="E33" s="103"/>
      <c r="F33" s="38"/>
      <c r="J33" s="62"/>
    </row>
    <row r="34" spans="2:10" ht="15.5">
      <c r="B34" s="60"/>
      <c r="C34" s="60"/>
      <c r="D34" s="103"/>
      <c r="E34" s="103"/>
      <c r="F34" s="38"/>
    </row>
    <row r="35" spans="2:10" s="40" customFormat="1" ht="14.5">
      <c r="B35" s="146" t="s">
        <v>14</v>
      </c>
      <c r="C35" s="146"/>
      <c r="D35" s="109" t="s">
        <v>15</v>
      </c>
      <c r="E35" s="146" t="s">
        <v>16</v>
      </c>
      <c r="F35" s="146"/>
      <c r="I35" s="110"/>
    </row>
    <row r="36" spans="2:10" ht="14.5">
      <c r="B36" s="149">
        <f>F32</f>
        <v>34200</v>
      </c>
      <c r="C36" s="150"/>
      <c r="D36" s="147">
        <f>E36-B36</f>
        <v>6840</v>
      </c>
      <c r="E36" s="153">
        <f>B36*1.2-B37</f>
        <v>41040</v>
      </c>
      <c r="F36" s="154"/>
    </row>
    <row r="37" spans="2:10" ht="14.5">
      <c r="B37" s="151"/>
      <c r="C37" s="152"/>
      <c r="D37" s="148"/>
      <c r="E37" s="155"/>
      <c r="F37" s="156"/>
    </row>
    <row r="38" spans="2:10" ht="14.5">
      <c r="B38" s="42"/>
      <c r="C38" s="42"/>
      <c r="D38" s="42"/>
      <c r="E38" s="42"/>
      <c r="F38" s="42"/>
      <c r="J38" t="s">
        <v>6</v>
      </c>
    </row>
    <row r="40" spans="2:10" s="59" customFormat="1" ht="14.5"/>
    <row r="41" spans="2:10" ht="14.5">
      <c r="B41" s="59"/>
      <c r="C41" s="59"/>
      <c r="D41" s="59"/>
      <c r="E41" s="59"/>
      <c r="F41" s="59"/>
    </row>
    <row r="42" spans="2:10" ht="14.5">
      <c r="B42" s="61"/>
      <c r="C42" s="61"/>
      <c r="D42" s="61"/>
      <c r="E42" s="61"/>
      <c r="F42" s="61"/>
    </row>
  </sheetData>
  <mergeCells count="7">
    <mergeCell ref="B6:C6"/>
    <mergeCell ref="B32:C32"/>
    <mergeCell ref="B35:C35"/>
    <mergeCell ref="E35:F35"/>
    <mergeCell ref="D36:D37"/>
    <mergeCell ref="B36:C37"/>
    <mergeCell ref="E36:F37"/>
  </mergeCells>
  <pageMargins left="0.7" right="0.7" top="0.75" bottom="0.75" header="0.3" footer="0.3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5:G27"/>
  <sheetViews>
    <sheetView topLeftCell="A7" workbookViewId="0">
      <selection activeCell="L20" sqref="L20"/>
    </sheetView>
  </sheetViews>
  <sheetFormatPr baseColWidth="10" defaultColWidth="11" defaultRowHeight="15.5"/>
  <cols>
    <col min="1" max="1" width="8" style="64" customWidth="1"/>
    <col min="2" max="2" width="34.54296875" customWidth="1"/>
    <col min="3" max="3" width="7.81640625" customWidth="1"/>
    <col min="4" max="4" width="12.453125" customWidth="1"/>
    <col min="5" max="5" width="10.453125" customWidth="1"/>
    <col min="6" max="6" width="16.26953125" customWidth="1"/>
  </cols>
  <sheetData>
    <row r="5" spans="1:7" ht="36.75" customHeight="1">
      <c r="B5" s="162" t="s">
        <v>74</v>
      </c>
      <c r="C5" s="162"/>
      <c r="D5" s="162"/>
      <c r="E5" s="162"/>
    </row>
    <row r="8" spans="1:7">
      <c r="A8" s="64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</row>
    <row r="9" spans="1:7" s="63" customFormat="1" ht="31">
      <c r="A9" s="85">
        <v>1</v>
      </c>
      <c r="B9" s="86" t="s">
        <v>81</v>
      </c>
      <c r="C9" s="87" t="s">
        <v>82</v>
      </c>
      <c r="D9" s="88">
        <v>1000</v>
      </c>
      <c r="E9" s="71">
        <v>19.7</v>
      </c>
      <c r="F9" s="89">
        <f>Tableau1[[#This Row],[QUANTITE]]*Tableau1[[#This Row],[P.U H.T]]</f>
        <v>19700</v>
      </c>
    </row>
    <row r="10" spans="1:7" ht="31">
      <c r="A10" s="90">
        <v>2</v>
      </c>
      <c r="B10" s="86" t="s">
        <v>83</v>
      </c>
      <c r="C10" s="87" t="s">
        <v>82</v>
      </c>
      <c r="D10" s="88">
        <v>15000</v>
      </c>
      <c r="E10" s="71">
        <v>17.73</v>
      </c>
      <c r="F10" s="89">
        <f>Tableau1[[#This Row],[QUANTITE]]*Tableau1[[#This Row],[P.U H.T]]</f>
        <v>265950</v>
      </c>
    </row>
    <row r="11" spans="1:7">
      <c r="A11" s="90">
        <v>3</v>
      </c>
      <c r="B11" s="91" t="s">
        <v>84</v>
      </c>
      <c r="C11" s="87" t="s">
        <v>82</v>
      </c>
      <c r="D11" s="88">
        <v>13500</v>
      </c>
      <c r="E11" s="71">
        <v>17.73</v>
      </c>
      <c r="F11" s="89">
        <f>Tableau1[[#This Row],[QUANTITE]]*Tableau1[[#This Row],[P.U H.T]]</f>
        <v>239355</v>
      </c>
    </row>
    <row r="12" spans="1:7" ht="31">
      <c r="A12" s="90">
        <v>4</v>
      </c>
      <c r="B12" s="86" t="s">
        <v>85</v>
      </c>
      <c r="C12" s="87" t="s">
        <v>82</v>
      </c>
      <c r="D12" s="88">
        <v>2500</v>
      </c>
      <c r="E12" s="71">
        <v>16.505877999999999</v>
      </c>
      <c r="F12" s="89">
        <f>Tableau1[[#This Row],[QUANTITE]]*Tableau1[[#This Row],[P.U H.T]]</f>
        <v>41264.695</v>
      </c>
    </row>
    <row r="13" spans="1:7">
      <c r="A13" s="90">
        <v>5</v>
      </c>
      <c r="B13" s="86" t="s">
        <v>86</v>
      </c>
      <c r="C13" s="87" t="s">
        <v>82</v>
      </c>
      <c r="D13" s="88">
        <v>1600</v>
      </c>
      <c r="E13" s="71">
        <v>25.244284</v>
      </c>
      <c r="F13" s="89">
        <f>Tableau1[[#This Row],[QUANTITE]]*Tableau1[[#This Row],[P.U H.T]]</f>
        <v>40390.854399999997</v>
      </c>
      <c r="G13" s="63"/>
    </row>
    <row r="14" spans="1:7">
      <c r="A14" s="90">
        <v>6</v>
      </c>
      <c r="B14" s="86" t="s">
        <v>87</v>
      </c>
      <c r="C14" s="87" t="s">
        <v>82</v>
      </c>
      <c r="D14" s="88">
        <v>1600</v>
      </c>
      <c r="E14" s="71">
        <v>48</v>
      </c>
      <c r="F14" s="89">
        <f>Tableau1[[#This Row],[QUANTITE]]*Tableau1[[#This Row],[P.U H.T]]</f>
        <v>76800</v>
      </c>
    </row>
    <row r="15" spans="1:7" ht="31">
      <c r="A15" s="90">
        <v>7</v>
      </c>
      <c r="B15" s="86" t="s">
        <v>88</v>
      </c>
      <c r="C15" s="87" t="s">
        <v>82</v>
      </c>
      <c r="D15" s="88">
        <v>2500</v>
      </c>
      <c r="E15" s="71">
        <v>21.5</v>
      </c>
      <c r="F15" s="89">
        <f>Tableau1[[#This Row],[QUANTITE]]*Tableau1[[#This Row],[P.U H.T]]</f>
        <v>53750</v>
      </c>
    </row>
    <row r="16" spans="1:7" ht="31">
      <c r="A16" s="90">
        <v>8</v>
      </c>
      <c r="B16" s="86" t="s">
        <v>89</v>
      </c>
      <c r="C16" s="87" t="s">
        <v>90</v>
      </c>
      <c r="D16" s="88">
        <v>400</v>
      </c>
      <c r="E16" s="71">
        <v>12.622142</v>
      </c>
      <c r="F16" s="89">
        <f>Tableau1[[#This Row],[QUANTITE]]*Tableau1[[#This Row],[P.U H.T]]</f>
        <v>5048.8567999999996</v>
      </c>
    </row>
    <row r="17" spans="1:6" s="2" customFormat="1" ht="46.5">
      <c r="A17" s="92">
        <v>9</v>
      </c>
      <c r="B17" s="86" t="s">
        <v>91</v>
      </c>
      <c r="C17" s="87" t="s">
        <v>82</v>
      </c>
      <c r="D17" s="88">
        <v>300</v>
      </c>
      <c r="E17" s="71">
        <v>21.5</v>
      </c>
      <c r="F17" s="89">
        <f>Tableau1[[#This Row],[QUANTITE]]*Tableau1[[#This Row],[P.U H.T]]</f>
        <v>6450</v>
      </c>
    </row>
    <row r="18" spans="1:6">
      <c r="A18" s="90">
        <v>10</v>
      </c>
      <c r="B18" s="86" t="s">
        <v>92</v>
      </c>
      <c r="C18" s="87" t="s">
        <v>93</v>
      </c>
      <c r="D18" s="88">
        <v>20</v>
      </c>
      <c r="E18" s="71">
        <v>250</v>
      </c>
      <c r="F18" s="89">
        <f>Tableau1[[#This Row],[QUANTITE]]*Tableau1[[#This Row],[P.U H.T]]</f>
        <v>5000</v>
      </c>
    </row>
    <row r="19" spans="1:6">
      <c r="A19" s="90">
        <v>11</v>
      </c>
      <c r="B19" s="86" t="s">
        <v>94</v>
      </c>
      <c r="C19" s="87" t="s">
        <v>82</v>
      </c>
      <c r="D19" s="88">
        <v>16000</v>
      </c>
      <c r="E19" s="71">
        <v>38.837359999999997</v>
      </c>
      <c r="F19" s="89">
        <f>Tableau1[[#This Row],[QUANTITE]]*Tableau1[[#This Row],[P.U H.T]]</f>
        <v>621397.76000000001</v>
      </c>
    </row>
    <row r="20" spans="1:6" ht="31">
      <c r="A20" s="90">
        <v>12</v>
      </c>
      <c r="B20" s="86" t="s">
        <v>95</v>
      </c>
      <c r="C20" s="87" t="s">
        <v>82</v>
      </c>
      <c r="D20" s="88">
        <v>300</v>
      </c>
      <c r="E20" s="71">
        <v>103.889938</v>
      </c>
      <c r="F20" s="89">
        <f>Tableau1[[#This Row],[QUANTITE]]*Tableau1[[#This Row],[P.U H.T]]</f>
        <v>31166.981400000001</v>
      </c>
    </row>
    <row r="21" spans="1:6" ht="31">
      <c r="A21" s="90">
        <v>13</v>
      </c>
      <c r="B21" s="86" t="s">
        <v>96</v>
      </c>
      <c r="C21" s="87" t="s">
        <v>82</v>
      </c>
      <c r="D21" s="88">
        <v>300</v>
      </c>
      <c r="E21" s="71">
        <v>189.33213000000001</v>
      </c>
      <c r="F21" s="89">
        <f>Tableau1[[#This Row],[QUANTITE]]*Tableau1[[#This Row],[P.U H.T]]</f>
        <v>56799.639000000003</v>
      </c>
    </row>
    <row r="22" spans="1:6">
      <c r="A22" s="90">
        <v>14</v>
      </c>
      <c r="B22" s="86" t="s">
        <v>97</v>
      </c>
      <c r="C22" s="87" t="s">
        <v>82</v>
      </c>
      <c r="D22" s="88">
        <v>200</v>
      </c>
      <c r="E22" s="71">
        <v>152.67500000000001</v>
      </c>
      <c r="F22" s="89">
        <f>Tableau1[[#This Row],[QUANTITE]]*Tableau1[[#This Row],[P.U H.T]]</f>
        <v>30535</v>
      </c>
    </row>
    <row r="23" spans="1:6" ht="31">
      <c r="A23" s="90">
        <v>15</v>
      </c>
      <c r="B23" s="86" t="s">
        <v>98</v>
      </c>
      <c r="C23" s="87" t="s">
        <v>82</v>
      </c>
      <c r="D23" s="88">
        <v>800</v>
      </c>
      <c r="E23" s="71">
        <v>213.745</v>
      </c>
      <c r="F23" s="89">
        <f>Tableau1[[#This Row],[QUANTITE]]*Tableau1[[#This Row],[P.U H.T]]</f>
        <v>170996</v>
      </c>
    </row>
    <row r="24" spans="1:6">
      <c r="A24" s="90">
        <v>16</v>
      </c>
      <c r="B24" s="86" t="s">
        <v>99</v>
      </c>
      <c r="C24" s="87" t="s">
        <v>82</v>
      </c>
      <c r="D24" s="88">
        <v>200</v>
      </c>
      <c r="E24" s="71">
        <v>194.18680000000001</v>
      </c>
      <c r="F24" s="89">
        <f>Tableau1[[#This Row],[QUANTITE]]*Tableau1[[#This Row],[P.U H.T]]</f>
        <v>38837.360000000001</v>
      </c>
    </row>
    <row r="25" spans="1:6">
      <c r="A25" s="80"/>
      <c r="B25" s="81"/>
      <c r="C25" s="81"/>
      <c r="D25" s="82" t="s">
        <v>100</v>
      </c>
      <c r="E25" s="68"/>
      <c r="F25" s="70">
        <f>SUBTOTAL(109,F9:F24)</f>
        <v>1703442.1466000001</v>
      </c>
    </row>
    <row r="26" spans="1:6">
      <c r="A26" s="80"/>
      <c r="B26" s="81"/>
      <c r="C26" s="81"/>
      <c r="D26" s="82" t="s">
        <v>101</v>
      </c>
      <c r="E26" s="68"/>
      <c r="F26" s="70">
        <f>Tableau1[[#Totals],[TOTAL H.T]]-F25</f>
        <v>340688.42932</v>
      </c>
    </row>
    <row r="27" spans="1:6">
      <c r="A27" s="80"/>
      <c r="D27" s="83" t="s">
        <v>102</v>
      </c>
      <c r="E27" s="84"/>
      <c r="F27" s="93">
        <f>F25*1.2</f>
        <v>2044130.57592</v>
      </c>
    </row>
  </sheetData>
  <mergeCells count="1">
    <mergeCell ref="B5:E5"/>
  </mergeCells>
  <pageMargins left="0.70866141732283505" right="0.511811023622047" top="0.74803149606299202" bottom="0.74803149606299202" header="0.31496062992126" footer="0.31496062992126"/>
  <pageSetup paperSize="9" orientation="portrait"/>
  <tableParts count="1">
    <tablePart r:id="rId1"/>
  </tableParts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3"/>
  <sheetViews>
    <sheetView workbookViewId="0">
      <selection activeCell="K17" sqref="K17"/>
    </sheetView>
  </sheetViews>
  <sheetFormatPr baseColWidth="10" defaultColWidth="11" defaultRowHeight="15.5"/>
  <cols>
    <col min="1" max="1" width="8" style="64" customWidth="1"/>
    <col min="2" max="2" width="34.54296875" customWidth="1"/>
    <col min="3" max="3" width="7.81640625" customWidth="1"/>
    <col min="4" max="4" width="12.453125" customWidth="1"/>
    <col min="5" max="5" width="10.453125" customWidth="1"/>
  </cols>
  <sheetData>
    <row r="1" spans="1:7" ht="36.75" customHeight="1">
      <c r="B1" s="162" t="s">
        <v>74</v>
      </c>
      <c r="C1" s="162"/>
      <c r="D1" s="162"/>
      <c r="E1" s="162"/>
    </row>
    <row r="4" spans="1:7">
      <c r="A4" s="64" t="s">
        <v>75</v>
      </c>
      <c r="B4" t="s">
        <v>76</v>
      </c>
      <c r="C4" t="s">
        <v>77</v>
      </c>
      <c r="D4" t="s">
        <v>78</v>
      </c>
      <c r="E4" t="s">
        <v>79</v>
      </c>
      <c r="F4" s="65" t="s">
        <v>103</v>
      </c>
      <c r="G4" t="s">
        <v>104</v>
      </c>
    </row>
    <row r="5" spans="1:7" s="63" customFormat="1" ht="31">
      <c r="A5" s="66">
        <v>1</v>
      </c>
      <c r="B5" s="67" t="s">
        <v>81</v>
      </c>
      <c r="C5" s="68" t="s">
        <v>82</v>
      </c>
      <c r="D5" s="69">
        <v>1000</v>
      </c>
      <c r="E5" s="70">
        <v>21.5</v>
      </c>
      <c r="F5" s="71">
        <v>19.7</v>
      </c>
      <c r="G5" s="72">
        <f>Tableau15[[#This Row],[P.U H.T]]-Tableau15[[#This Row],[ALIGNEMENT]]</f>
        <v>1.8</v>
      </c>
    </row>
    <row r="6" spans="1:7" ht="31">
      <c r="A6" s="73">
        <v>2</v>
      </c>
      <c r="B6" s="67" t="s">
        <v>83</v>
      </c>
      <c r="C6" s="68" t="s">
        <v>82</v>
      </c>
      <c r="D6" s="69">
        <v>15000</v>
      </c>
      <c r="E6" s="70">
        <v>18.5</v>
      </c>
      <c r="F6" s="71">
        <v>17.73</v>
      </c>
      <c r="G6" s="74">
        <f>Tableau15[[#This Row],[P.U H.T]]-Tableau15[[#This Row],[ALIGNEMENT]]</f>
        <v>0.77</v>
      </c>
    </row>
    <row r="7" spans="1:7">
      <c r="A7" s="73">
        <v>3</v>
      </c>
      <c r="B7" s="75" t="s">
        <v>84</v>
      </c>
      <c r="C7" s="68" t="s">
        <v>82</v>
      </c>
      <c r="D7" s="69">
        <v>13500</v>
      </c>
      <c r="E7" s="70">
        <v>18.5</v>
      </c>
      <c r="F7" s="71">
        <v>17.73</v>
      </c>
      <c r="G7" s="74">
        <f>Tableau15[[#This Row],[P.U H.T]]-Tableau15[[#This Row],[ALIGNEMENT]]</f>
        <v>0.77</v>
      </c>
    </row>
    <row r="8" spans="1:7" ht="31">
      <c r="A8" s="73">
        <v>4</v>
      </c>
      <c r="B8" s="67" t="s">
        <v>85</v>
      </c>
      <c r="C8" s="68" t="s">
        <v>82</v>
      </c>
      <c r="D8" s="69">
        <v>2500</v>
      </c>
      <c r="E8" s="70">
        <v>18.5</v>
      </c>
      <c r="F8" s="71">
        <v>16.505877999999999</v>
      </c>
      <c r="G8" s="74">
        <f>Tableau15[[#This Row],[P.U H.T]]-Tableau15[[#This Row],[ALIGNEMENT]]</f>
        <v>1.994122</v>
      </c>
    </row>
    <row r="9" spans="1:7">
      <c r="A9" s="73">
        <v>5</v>
      </c>
      <c r="B9" s="67" t="s">
        <v>86</v>
      </c>
      <c r="C9" s="68" t="s">
        <v>82</v>
      </c>
      <c r="D9" s="69">
        <v>1600</v>
      </c>
      <c r="E9" s="70">
        <v>85</v>
      </c>
      <c r="F9" s="71">
        <v>25.244284</v>
      </c>
      <c r="G9" s="76">
        <f>Tableau15[[#This Row],[P.U H.T]]-Tableau15[[#This Row],[ALIGNEMENT]]</f>
        <v>59.755716</v>
      </c>
    </row>
    <row r="10" spans="1:7">
      <c r="A10" s="73">
        <v>6</v>
      </c>
      <c r="B10" s="67" t="s">
        <v>87</v>
      </c>
      <c r="C10" s="68" t="s">
        <v>82</v>
      </c>
      <c r="D10" s="69">
        <v>1600</v>
      </c>
      <c r="E10" s="70">
        <v>110</v>
      </c>
      <c r="F10" s="71">
        <v>48</v>
      </c>
      <c r="G10" s="74">
        <f>Tableau15[[#This Row],[P.U H.T]]-Tableau15[[#This Row],[ALIGNEMENT]]</f>
        <v>62</v>
      </c>
    </row>
    <row r="11" spans="1:7" ht="31">
      <c r="A11" s="73">
        <v>7</v>
      </c>
      <c r="B11" s="67" t="s">
        <v>88</v>
      </c>
      <c r="C11" s="68" t="s">
        <v>82</v>
      </c>
      <c r="D11" s="69">
        <v>2500</v>
      </c>
      <c r="E11" s="70">
        <v>21.5</v>
      </c>
      <c r="F11" s="71">
        <v>21.5</v>
      </c>
      <c r="G11" s="74">
        <f>Tableau15[[#This Row],[P.U H.T]]-Tableau15[[#This Row],[ALIGNEMENT]]</f>
        <v>0</v>
      </c>
    </row>
    <row r="12" spans="1:7" ht="31">
      <c r="A12" s="73">
        <v>8</v>
      </c>
      <c r="B12" s="67" t="s">
        <v>89</v>
      </c>
      <c r="C12" s="68" t="s">
        <v>90</v>
      </c>
      <c r="D12" s="69">
        <v>400</v>
      </c>
      <c r="E12" s="70">
        <v>16</v>
      </c>
      <c r="F12" s="71">
        <v>12.622142</v>
      </c>
      <c r="G12" s="74">
        <f>Tableau15[[#This Row],[P.U H.T]]-Tableau15[[#This Row],[ALIGNEMENT]]</f>
        <v>3.3778579999999998</v>
      </c>
    </row>
    <row r="13" spans="1:7" s="2" customFormat="1" ht="46.5">
      <c r="A13" s="77">
        <v>9</v>
      </c>
      <c r="B13" s="67" t="s">
        <v>91</v>
      </c>
      <c r="C13" s="68" t="s">
        <v>82</v>
      </c>
      <c r="D13" s="69">
        <v>300</v>
      </c>
      <c r="E13" s="70">
        <v>21.5</v>
      </c>
      <c r="F13" s="71">
        <v>21.5</v>
      </c>
      <c r="G13" s="78">
        <f>Tableau15[[#This Row],[P.U H.T]]-Tableau15[[#This Row],[ALIGNEMENT]]</f>
        <v>0</v>
      </c>
    </row>
    <row r="14" spans="1:7">
      <c r="A14" s="73">
        <v>10</v>
      </c>
      <c r="B14" s="67" t="s">
        <v>92</v>
      </c>
      <c r="C14" s="68" t="s">
        <v>93</v>
      </c>
      <c r="D14" s="69">
        <v>20</v>
      </c>
      <c r="E14" s="70">
        <v>250</v>
      </c>
      <c r="F14" s="71">
        <v>250</v>
      </c>
      <c r="G14" s="74">
        <f>Tableau15[[#This Row],[P.U H.T]]-Tableau15[[#This Row],[ALIGNEMENT]]</f>
        <v>0</v>
      </c>
    </row>
    <row r="15" spans="1:7">
      <c r="A15" s="73">
        <v>11</v>
      </c>
      <c r="B15" s="67" t="s">
        <v>94</v>
      </c>
      <c r="C15" s="68" t="s">
        <v>82</v>
      </c>
      <c r="D15" s="69">
        <v>16000</v>
      </c>
      <c r="E15" s="70">
        <v>40</v>
      </c>
      <c r="F15" s="71">
        <v>38.837359999999997</v>
      </c>
      <c r="G15" s="74">
        <f>Tableau15[[#This Row],[P.U H.T]]-Tableau15[[#This Row],[ALIGNEMENT]]</f>
        <v>1.1626399999999999</v>
      </c>
    </row>
    <row r="16" spans="1:7" ht="31">
      <c r="A16" s="73">
        <v>12</v>
      </c>
      <c r="B16" s="67" t="s">
        <v>95</v>
      </c>
      <c r="C16" s="68" t="s">
        <v>82</v>
      </c>
      <c r="D16" s="69">
        <v>300</v>
      </c>
      <c r="E16" s="70">
        <v>140</v>
      </c>
      <c r="F16" s="71">
        <v>103.889938</v>
      </c>
      <c r="G16" s="79">
        <f>Tableau15[[#This Row],[P.U H.T]]-Tableau15[[#This Row],[ALIGNEMENT]]</f>
        <v>36.110061999999999</v>
      </c>
    </row>
    <row r="17" spans="1:7" ht="31">
      <c r="A17" s="73">
        <v>13</v>
      </c>
      <c r="B17" s="67" t="s">
        <v>96</v>
      </c>
      <c r="C17" s="68" t="s">
        <v>82</v>
      </c>
      <c r="D17" s="69">
        <v>300</v>
      </c>
      <c r="E17" s="70">
        <v>230</v>
      </c>
      <c r="F17" s="71">
        <v>189.33213000000001</v>
      </c>
      <c r="G17" s="79">
        <f>Tableau15[[#This Row],[P.U H.T]]-Tableau15[[#This Row],[ALIGNEMENT]]</f>
        <v>40.667870000000001</v>
      </c>
    </row>
    <row r="18" spans="1:7">
      <c r="A18" s="73">
        <v>14</v>
      </c>
      <c r="B18" s="67" t="s">
        <v>97</v>
      </c>
      <c r="C18" s="68" t="s">
        <v>82</v>
      </c>
      <c r="D18" s="69">
        <v>200</v>
      </c>
      <c r="E18" s="70">
        <v>170</v>
      </c>
      <c r="F18" s="71">
        <v>152.67500000000001</v>
      </c>
      <c r="G18" s="79">
        <f>Tableau15[[#This Row],[P.U H.T]]-Tableau15[[#This Row],[ALIGNEMENT]]</f>
        <v>17.324999999999999</v>
      </c>
    </row>
    <row r="19" spans="1:7" ht="31">
      <c r="A19" s="73">
        <v>15</v>
      </c>
      <c r="B19" s="67" t="s">
        <v>98</v>
      </c>
      <c r="C19" s="68" t="s">
        <v>82</v>
      </c>
      <c r="D19" s="69">
        <v>800</v>
      </c>
      <c r="E19" s="70">
        <v>250</v>
      </c>
      <c r="F19" s="71">
        <v>213.745</v>
      </c>
      <c r="G19" s="79">
        <f>Tableau15[[#This Row],[P.U H.T]]-Tableau15[[#This Row],[ALIGNEMENT]]</f>
        <v>36.255000000000003</v>
      </c>
    </row>
    <row r="20" spans="1:7">
      <c r="A20" s="73">
        <v>16</v>
      </c>
      <c r="B20" s="67" t="s">
        <v>99</v>
      </c>
      <c r="C20" s="68" t="s">
        <v>82</v>
      </c>
      <c r="D20" s="69">
        <v>200</v>
      </c>
      <c r="E20" s="70">
        <v>200</v>
      </c>
      <c r="F20" s="71">
        <v>194.18680000000001</v>
      </c>
      <c r="G20" s="74">
        <f>Tableau15[[#This Row],[P.U H.T]]-Tableau15[[#This Row],[ALIGNEMENT]]</f>
        <v>5.8131999999999904</v>
      </c>
    </row>
    <row r="21" spans="1:7">
      <c r="A21" s="80"/>
      <c r="B21" s="81"/>
      <c r="C21" s="81"/>
      <c r="D21" s="82" t="s">
        <v>100</v>
      </c>
      <c r="E21" s="68"/>
      <c r="G21">
        <f>Tableau15[[#This Row],[P.U H.T]]-Tableau15[[#This Row],[ALIGNEMENT]]</f>
        <v>0</v>
      </c>
    </row>
    <row r="22" spans="1:7">
      <c r="A22" s="80"/>
      <c r="B22" s="81"/>
      <c r="C22" s="81"/>
      <c r="D22" s="82" t="s">
        <v>101</v>
      </c>
      <c r="E22" s="68"/>
      <c r="G22">
        <f>Tableau15[[#This Row],[P.U H.T]]-Tableau15[[#This Row],[ALIGNEMENT]]</f>
        <v>0</v>
      </c>
    </row>
    <row r="23" spans="1:7">
      <c r="A23" s="80"/>
      <c r="D23" s="83" t="s">
        <v>102</v>
      </c>
      <c r="E23" s="84"/>
    </row>
  </sheetData>
  <mergeCells count="1">
    <mergeCell ref="B1:E1"/>
  </mergeCells>
  <pageMargins left="0.70866141732283505" right="0.70866141732283505" top="0.74803149606299202" bottom="0.74803149606299202" header="0.31496062992126" footer="0.31496062992126"/>
  <pageSetup paperSize="9" orientation="landscape"/>
  <tableParts count="1">
    <tablePart r:id="rId1"/>
  </tablePart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B1:J41"/>
  <sheetViews>
    <sheetView topLeftCell="A13" workbookViewId="0">
      <selection activeCell="K19" sqref="K19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105</v>
      </c>
      <c r="D20" s="49">
        <v>21</v>
      </c>
      <c r="E20" s="50">
        <v>1080</v>
      </c>
      <c r="F20" s="53">
        <f>D20*E20</f>
        <v>22680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106</v>
      </c>
      <c r="C31" s="164"/>
      <c r="D31" s="56" t="s">
        <v>12</v>
      </c>
      <c r="E31" s="57"/>
      <c r="F31" s="58">
        <f>SUM(F20:F30)</f>
        <v>22680</v>
      </c>
      <c r="I31" t="s">
        <v>13</v>
      </c>
    </row>
    <row r="32" spans="2:10" ht="15.5">
      <c r="B32" s="60"/>
      <c r="C32" s="60"/>
      <c r="D32" s="37"/>
      <c r="E32" s="37"/>
      <c r="F32" s="38"/>
      <c r="J32" s="62"/>
    </row>
    <row r="33" spans="2:10" ht="15.5">
      <c r="B33" s="60"/>
      <c r="C33" s="60"/>
      <c r="D33" s="37"/>
      <c r="E33" s="37"/>
      <c r="F33" s="38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</row>
    <row r="35" spans="2:10" ht="14.5">
      <c r="B35" s="149">
        <f>F31</f>
        <v>22680</v>
      </c>
      <c r="C35" s="150"/>
      <c r="D35" s="147">
        <f>E35-B35</f>
        <v>4536</v>
      </c>
      <c r="E35" s="153">
        <f>B35*1.2-B36</f>
        <v>27216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pageSetup paperSize="9" orientation="portrait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I40"/>
  <sheetViews>
    <sheetView topLeftCell="A4" workbookViewId="0">
      <selection activeCell="I29" sqref="I29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105</v>
      </c>
      <c r="D25" s="49">
        <v>21</v>
      </c>
      <c r="E25" s="50">
        <v>1080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107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I40"/>
  <sheetViews>
    <sheetView workbookViewId="0">
      <selection activeCell="K16" sqref="K16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105</v>
      </c>
      <c r="D25" s="49">
        <v>24.5</v>
      </c>
      <c r="E25" s="50">
        <v>1080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108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"/>
  <sheetViews>
    <sheetView workbookViewId="0"/>
  </sheetViews>
  <sheetFormatPr baseColWidth="10" defaultColWidth="11" defaultRowHeight="14.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"/>
  <sheetViews>
    <sheetView workbookViewId="0"/>
  </sheetViews>
  <sheetFormatPr baseColWidth="10" defaultColWidth="11" defaultRowHeight="14.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B1:J41"/>
  <sheetViews>
    <sheetView workbookViewId="0">
      <selection activeCell="K31" sqref="K3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105</v>
      </c>
      <c r="D20" s="49">
        <v>24.5</v>
      </c>
      <c r="E20" s="50">
        <v>1080</v>
      </c>
      <c r="F20" s="53">
        <f>D20*E20</f>
        <v>26460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109</v>
      </c>
      <c r="C31" s="164"/>
      <c r="D31" s="56" t="s">
        <v>12</v>
      </c>
      <c r="E31" s="57"/>
      <c r="F31" s="58">
        <f>SUM(F20:F30)</f>
        <v>26460</v>
      </c>
      <c r="I31" t="s">
        <v>13</v>
      </c>
    </row>
    <row r="32" spans="2:10" ht="15.5">
      <c r="B32" s="60"/>
      <c r="C32" s="60"/>
      <c r="D32" s="37"/>
      <c r="E32" s="37"/>
      <c r="F32" s="38"/>
      <c r="J32" s="62"/>
    </row>
    <row r="33" spans="2:10" ht="15.5">
      <c r="B33" s="60"/>
      <c r="C33" s="60"/>
      <c r="D33" s="37"/>
      <c r="E33" s="37"/>
      <c r="F33" s="38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</row>
    <row r="35" spans="2:10" ht="14.5">
      <c r="B35" s="149">
        <f>F31</f>
        <v>26460</v>
      </c>
      <c r="C35" s="150"/>
      <c r="D35" s="147">
        <f>E35-B35</f>
        <v>5292</v>
      </c>
      <c r="E35" s="153">
        <f>B35*1.2-B36</f>
        <v>31752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B1:J41"/>
  <sheetViews>
    <sheetView workbookViewId="0">
      <selection activeCell="H32" sqref="H32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110</v>
      </c>
      <c r="D20" s="49">
        <v>12.5</v>
      </c>
      <c r="E20" s="50">
        <v>920</v>
      </c>
      <c r="F20" s="53">
        <f>D20*E20</f>
        <v>11500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111</v>
      </c>
      <c r="C31" s="164"/>
      <c r="D31" s="56" t="s">
        <v>12</v>
      </c>
      <c r="E31" s="57"/>
      <c r="F31" s="58">
        <f>SUM(F20:F30)</f>
        <v>11500</v>
      </c>
      <c r="I31" t="s">
        <v>13</v>
      </c>
    </row>
    <row r="32" spans="2:10" ht="15.5">
      <c r="B32" s="60"/>
      <c r="C32" s="60"/>
      <c r="D32" s="37"/>
      <c r="E32" s="37"/>
      <c r="F32" s="38"/>
      <c r="J32" s="62"/>
    </row>
    <row r="33" spans="2:10" ht="15.5">
      <c r="B33" s="60"/>
      <c r="C33" s="60"/>
      <c r="D33" s="37"/>
      <c r="E33" s="37"/>
      <c r="F33" s="38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</row>
    <row r="35" spans="2:10" ht="14.5">
      <c r="B35" s="149">
        <f>F31</f>
        <v>11500</v>
      </c>
      <c r="C35" s="150"/>
      <c r="D35" s="147">
        <f>E35-B35</f>
        <v>2300</v>
      </c>
      <c r="E35" s="153">
        <f>B35*1.2-B36</f>
        <v>13800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I40"/>
  <sheetViews>
    <sheetView workbookViewId="0">
      <selection activeCell="H32" sqref="H32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43.5">
      <c r="B25" s="11"/>
      <c r="C25" s="17" t="s">
        <v>110</v>
      </c>
      <c r="D25" s="49">
        <v>12.5</v>
      </c>
      <c r="E25" s="50">
        <v>920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112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B1:J41"/>
  <sheetViews>
    <sheetView workbookViewId="0">
      <selection activeCell="C27" sqref="C27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113</v>
      </c>
      <c r="D20" s="49">
        <v>6</v>
      </c>
      <c r="E20" s="50">
        <v>1700</v>
      </c>
      <c r="F20" s="53">
        <f>D20*E20</f>
        <v>10200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114</v>
      </c>
      <c r="C31" s="164"/>
      <c r="D31" s="56" t="s">
        <v>12</v>
      </c>
      <c r="E31" s="57"/>
      <c r="F31" s="58">
        <f>SUM(F20:F30)</f>
        <v>10200</v>
      </c>
      <c r="I31" t="s">
        <v>13</v>
      </c>
    </row>
    <row r="32" spans="2:10" ht="15.5">
      <c r="B32" s="60"/>
      <c r="C32" s="60"/>
      <c r="D32" s="37"/>
      <c r="E32" s="37"/>
      <c r="F32" s="38"/>
      <c r="J32" s="62"/>
    </row>
    <row r="33" spans="2:10" ht="15.5">
      <c r="B33" s="60"/>
      <c r="C33" s="60"/>
      <c r="D33" s="37"/>
      <c r="E33" s="37"/>
      <c r="F33" s="38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</row>
    <row r="35" spans="2:10" ht="14.5">
      <c r="B35" s="149">
        <f>F31</f>
        <v>10200</v>
      </c>
      <c r="C35" s="150"/>
      <c r="D35" s="147">
        <f>E35-B35</f>
        <v>2040</v>
      </c>
      <c r="E35" s="153">
        <f>B35*1.2-B36</f>
        <v>12240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I40"/>
  <sheetViews>
    <sheetView workbookViewId="0">
      <selection activeCell="K25" sqref="K25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43.5">
      <c r="B25" s="11"/>
      <c r="C25" s="17" t="s">
        <v>113</v>
      </c>
      <c r="D25" s="49">
        <v>6</v>
      </c>
      <c r="E25" s="50">
        <v>1700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115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B1:J41"/>
  <sheetViews>
    <sheetView workbookViewId="0">
      <selection activeCell="P25" sqref="P25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113</v>
      </c>
      <c r="D20" s="49">
        <v>5</v>
      </c>
      <c r="E20" s="50">
        <v>1700</v>
      </c>
      <c r="F20" s="53">
        <f>D20*E20</f>
        <v>8500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116</v>
      </c>
      <c r="C31" s="164"/>
      <c r="D31" s="56" t="s">
        <v>12</v>
      </c>
      <c r="E31" s="57"/>
      <c r="F31" s="58">
        <f>SUM(F20:F30)</f>
        <v>8500</v>
      </c>
      <c r="I31" t="s">
        <v>13</v>
      </c>
      <c r="J31" s="59"/>
    </row>
    <row r="32" spans="2:10" ht="15.5">
      <c r="B32" s="60"/>
      <c r="C32" s="60"/>
      <c r="D32" s="37"/>
      <c r="E32" s="37"/>
      <c r="F32" s="38"/>
      <c r="J32" s="59"/>
    </row>
    <row r="33" spans="2:10" ht="15.5">
      <c r="B33" s="60"/>
      <c r="C33" s="60"/>
      <c r="D33" s="37"/>
      <c r="E33" s="37"/>
      <c r="F33" s="38"/>
      <c r="J33" s="59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</row>
    <row r="35" spans="2:10" ht="14.5">
      <c r="B35" s="149">
        <f>F31</f>
        <v>8500</v>
      </c>
      <c r="C35" s="150"/>
      <c r="D35" s="147">
        <f>E35-B35</f>
        <v>1700</v>
      </c>
      <c r="E35" s="153">
        <f>B35*1.2-B36</f>
        <v>10200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I40"/>
  <sheetViews>
    <sheetView workbookViewId="0">
      <selection activeCell="O21" sqref="O2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43.5">
      <c r="B25" s="11"/>
      <c r="C25" s="17" t="s">
        <v>113</v>
      </c>
      <c r="D25" s="49">
        <v>5</v>
      </c>
      <c r="E25" s="50">
        <v>1700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117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B1:J41"/>
  <sheetViews>
    <sheetView workbookViewId="0">
      <selection activeCell="I24" sqref="I24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110</v>
      </c>
      <c r="D20" s="49">
        <v>10</v>
      </c>
      <c r="E20" s="50">
        <v>920</v>
      </c>
      <c r="F20" s="53">
        <f>D20*E20</f>
        <v>9200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118</v>
      </c>
      <c r="C31" s="164"/>
      <c r="D31" s="56" t="s">
        <v>12</v>
      </c>
      <c r="E31" s="57"/>
      <c r="F31" s="58">
        <f>SUM(F20:F30)</f>
        <v>9200</v>
      </c>
      <c r="I31" t="s">
        <v>13</v>
      </c>
    </row>
    <row r="32" spans="2:10" ht="15.5">
      <c r="B32" s="60"/>
      <c r="C32" s="60"/>
      <c r="D32" s="37"/>
      <c r="E32" s="37"/>
      <c r="F32" s="38"/>
      <c r="J32" s="62"/>
    </row>
    <row r="33" spans="2:10" ht="15.5">
      <c r="B33" s="60"/>
      <c r="C33" s="60"/>
      <c r="D33" s="37"/>
      <c r="E33" s="37"/>
      <c r="F33" s="38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</row>
    <row r="35" spans="2:10" ht="14.5">
      <c r="B35" s="149">
        <f>F31</f>
        <v>9200</v>
      </c>
      <c r="C35" s="150"/>
      <c r="D35" s="147">
        <f>E35-B35</f>
        <v>1840</v>
      </c>
      <c r="E35" s="153">
        <f>B35*1.2-B36</f>
        <v>11040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I40"/>
  <sheetViews>
    <sheetView workbookViewId="0">
      <selection activeCell="C25" sqref="C25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43.5">
      <c r="B25" s="11"/>
      <c r="C25" s="17" t="s">
        <v>110</v>
      </c>
      <c r="D25" s="49">
        <v>10</v>
      </c>
      <c r="E25" s="50">
        <v>920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119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B1:J40"/>
  <sheetViews>
    <sheetView topLeftCell="A10" workbookViewId="0">
      <selection activeCell="L25" sqref="L25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120</v>
      </c>
      <c r="D20" s="49">
        <v>103</v>
      </c>
      <c r="E20" s="50">
        <v>900</v>
      </c>
      <c r="F20" s="53">
        <f>D20*E20</f>
        <v>92700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54"/>
      <c r="C22" s="54"/>
      <c r="D22" s="54"/>
      <c r="E22" s="37"/>
      <c r="F22" s="54"/>
    </row>
    <row r="23" spans="2:10" ht="14.5">
      <c r="B23" s="54"/>
      <c r="C23" s="54"/>
      <c r="D23" s="54"/>
      <c r="E23" s="37"/>
      <c r="F23" s="54"/>
    </row>
    <row r="24" spans="2:10" ht="22.5" customHeight="1">
      <c r="B24" s="54"/>
      <c r="C24" s="54"/>
      <c r="D24" s="54"/>
      <c r="E24" s="55"/>
      <c r="F24" s="54"/>
    </row>
    <row r="25" spans="2:10" ht="22.5" customHeight="1">
      <c r="B25" s="54"/>
      <c r="C25" s="54"/>
      <c r="D25" s="54"/>
      <c r="E25" s="55"/>
      <c r="F25" s="54"/>
    </row>
    <row r="26" spans="2:10" ht="14.5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25.5" customHeight="1">
      <c r="B30" s="163" t="s">
        <v>121</v>
      </c>
      <c r="C30" s="164"/>
      <c r="D30" s="56" t="s">
        <v>12</v>
      </c>
      <c r="E30" s="57"/>
      <c r="F30" s="58">
        <f>SUM(F20:F29)</f>
        <v>92700</v>
      </c>
      <c r="I30" t="s">
        <v>13</v>
      </c>
      <c r="J30" s="59"/>
    </row>
    <row r="31" spans="2:10" ht="15.5">
      <c r="B31" s="60"/>
      <c r="C31" s="60"/>
      <c r="D31" s="37"/>
      <c r="E31" s="37"/>
      <c r="F31" s="38"/>
      <c r="J31" s="59"/>
    </row>
    <row r="32" spans="2:10" ht="15.5">
      <c r="B32" s="60"/>
      <c r="C32" s="60"/>
      <c r="D32" s="37"/>
      <c r="E32" s="37"/>
      <c r="F32" s="38"/>
      <c r="J32" s="59"/>
    </row>
    <row r="33" spans="2:10" s="25" customFormat="1" ht="14.5">
      <c r="B33" s="165" t="s">
        <v>14</v>
      </c>
      <c r="C33" s="165"/>
      <c r="D33" s="39" t="s">
        <v>15</v>
      </c>
      <c r="E33" s="165" t="s">
        <v>16</v>
      </c>
      <c r="F33" s="165"/>
      <c r="J33" s="40"/>
    </row>
    <row r="34" spans="2:10" ht="14.5">
      <c r="B34" s="149">
        <f>F30</f>
        <v>92700</v>
      </c>
      <c r="C34" s="150"/>
      <c r="D34" s="147">
        <f>E34-B34</f>
        <v>18540</v>
      </c>
      <c r="E34" s="153">
        <f>B34*1.2-B35</f>
        <v>111240</v>
      </c>
      <c r="F34" s="154"/>
    </row>
    <row r="35" spans="2:10" ht="14.5">
      <c r="B35" s="151"/>
      <c r="C35" s="152"/>
      <c r="D35" s="148"/>
      <c r="E35" s="155"/>
      <c r="F35" s="156"/>
    </row>
    <row r="36" spans="2:10" ht="14.5">
      <c r="B36" s="42"/>
      <c r="C36" s="42"/>
      <c r="D36" s="42"/>
      <c r="E36" s="42"/>
      <c r="F36" s="42"/>
      <c r="J36" t="s">
        <v>6</v>
      </c>
    </row>
    <row r="38" spans="2:10" ht="14.5"/>
    <row r="39" spans="2:10" ht="14.5"/>
    <row r="40" spans="2:10" ht="14.5">
      <c r="B40" s="61"/>
      <c r="C40" s="61"/>
      <c r="D40" s="61"/>
      <c r="E40" s="61"/>
      <c r="F40" s="61"/>
    </row>
  </sheetData>
  <mergeCells count="7">
    <mergeCell ref="B6:C6"/>
    <mergeCell ref="B30:C30"/>
    <mergeCell ref="B33:C33"/>
    <mergeCell ref="E33:F33"/>
    <mergeCell ref="D34:D35"/>
    <mergeCell ref="B34:C35"/>
    <mergeCell ref="E34:F35"/>
  </mergeCells>
  <pageMargins left="0.7" right="0.7" top="0.75" bottom="0.75" header="0.3" footer="0.3"/>
  <pageSetup paperSize="9" orientation="portrait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I40"/>
  <sheetViews>
    <sheetView topLeftCell="A7" workbookViewId="0">
      <selection activeCell="J30" sqref="J30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120</v>
      </c>
      <c r="D25" s="49">
        <v>103</v>
      </c>
      <c r="E25" s="50">
        <v>900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122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B1:J41"/>
  <sheetViews>
    <sheetView workbookViewId="0">
      <selection activeCell="P20" sqref="P20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120</v>
      </c>
      <c r="D20" s="49">
        <v>13</v>
      </c>
      <c r="E20" s="50">
        <v>900</v>
      </c>
      <c r="F20" s="53">
        <f>D20*E20</f>
        <v>11700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121</v>
      </c>
      <c r="C31" s="164"/>
      <c r="D31" s="56" t="s">
        <v>12</v>
      </c>
      <c r="E31" s="57"/>
      <c r="F31" s="58">
        <f>SUM(F20:F30)</f>
        <v>11700</v>
      </c>
      <c r="I31" t="s">
        <v>13</v>
      </c>
      <c r="J31" s="59"/>
    </row>
    <row r="32" spans="2:10" ht="15.5">
      <c r="B32" s="60"/>
      <c r="C32" s="60"/>
      <c r="D32" s="37"/>
      <c r="E32" s="37"/>
      <c r="F32" s="38"/>
      <c r="J32" s="59"/>
    </row>
    <row r="33" spans="2:10" ht="15.5">
      <c r="B33" s="60"/>
      <c r="C33" s="60"/>
      <c r="D33" s="37"/>
      <c r="E33" s="37"/>
      <c r="F33" s="38"/>
      <c r="J33" s="59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  <c r="J34" s="40"/>
    </row>
    <row r="35" spans="2:10" ht="14.5">
      <c r="B35" s="149">
        <f>F31</f>
        <v>11700</v>
      </c>
      <c r="C35" s="150"/>
      <c r="D35" s="147">
        <f>E35-B35</f>
        <v>2340</v>
      </c>
      <c r="E35" s="153">
        <f>B35*1.2-B36</f>
        <v>14040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pageSetup paperSize="9" orientation="portrait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I40"/>
  <sheetViews>
    <sheetView topLeftCell="A10" workbookViewId="0">
      <selection activeCell="A10" sqref="A1:XFD1048576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120</v>
      </c>
      <c r="D25" s="49">
        <v>13</v>
      </c>
      <c r="E25" s="50">
        <v>900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122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B1:J41"/>
  <sheetViews>
    <sheetView workbookViewId="0">
      <selection activeCell="K24" sqref="K24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123</v>
      </c>
      <c r="D20" s="49">
        <v>6</v>
      </c>
      <c r="E20" s="50">
        <v>1700</v>
      </c>
      <c r="F20" s="53">
        <f>D20*E20</f>
        <v>10200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121</v>
      </c>
      <c r="C31" s="164"/>
      <c r="D31" s="56" t="s">
        <v>12</v>
      </c>
      <c r="E31" s="57"/>
      <c r="F31" s="58">
        <f>SUM(F20:F30)</f>
        <v>10200</v>
      </c>
      <c r="I31" t="s">
        <v>13</v>
      </c>
      <c r="J31" s="59"/>
    </row>
    <row r="32" spans="2:10" ht="15.5">
      <c r="B32" s="60"/>
      <c r="C32" s="60"/>
      <c r="D32" s="37"/>
      <c r="E32" s="37"/>
      <c r="F32" s="38"/>
      <c r="J32" s="59"/>
    </row>
    <row r="33" spans="2:10" ht="15.5">
      <c r="B33" s="60"/>
      <c r="C33" s="60"/>
      <c r="D33" s="37"/>
      <c r="E33" s="37"/>
      <c r="F33" s="38"/>
      <c r="J33" s="59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  <c r="J34" s="40"/>
    </row>
    <row r="35" spans="2:10" ht="14.5">
      <c r="B35" s="149">
        <f>F31</f>
        <v>10200</v>
      </c>
      <c r="C35" s="150"/>
      <c r="D35" s="147">
        <f>E35-B35</f>
        <v>2040</v>
      </c>
      <c r="E35" s="153">
        <f>B35*1.2-B36</f>
        <v>12240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pageSetup paperSize="9" orientation="portrait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I40"/>
  <sheetViews>
    <sheetView workbookViewId="0">
      <selection activeCell="K25" sqref="K25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43.5">
      <c r="B25" s="11"/>
      <c r="C25" s="17" t="s">
        <v>123</v>
      </c>
      <c r="D25" s="49">
        <v>6</v>
      </c>
      <c r="E25" s="50">
        <v>1700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122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B1:J41"/>
  <sheetViews>
    <sheetView topLeftCell="A7" workbookViewId="0">
      <selection activeCell="K11" sqref="K1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124</v>
      </c>
      <c r="D20" s="49">
        <v>2500</v>
      </c>
      <c r="E20" s="50">
        <v>24</v>
      </c>
      <c r="F20" s="53">
        <f>D20*E20</f>
        <v>60000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125</v>
      </c>
      <c r="C31" s="164"/>
      <c r="D31" s="56" t="s">
        <v>12</v>
      </c>
      <c r="E31" s="57"/>
      <c r="F31" s="58">
        <f>SUM(F20:F30)</f>
        <v>60000</v>
      </c>
      <c r="I31" t="s">
        <v>13</v>
      </c>
      <c r="J31" s="59"/>
    </row>
    <row r="32" spans="2:10" ht="15.5">
      <c r="B32" s="60"/>
      <c r="C32" s="60"/>
      <c r="D32" s="37"/>
      <c r="E32" s="37"/>
      <c r="F32" s="38"/>
      <c r="J32" s="59"/>
    </row>
    <row r="33" spans="2:10" ht="15.5">
      <c r="B33" s="60"/>
      <c r="C33" s="60"/>
      <c r="D33" s="37"/>
      <c r="E33" s="37"/>
      <c r="F33" s="38"/>
      <c r="J33" s="59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  <c r="J34" s="40"/>
    </row>
    <row r="35" spans="2:10" ht="14.5">
      <c r="B35" s="149">
        <f>F31</f>
        <v>60000</v>
      </c>
      <c r="C35" s="150"/>
      <c r="D35" s="147">
        <f>E35-B35</f>
        <v>12000</v>
      </c>
      <c r="E35" s="153">
        <f>B35*1.2-B36</f>
        <v>72000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pageSetup paperSize="9" orientation="portrait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B1:J37"/>
  <sheetViews>
    <sheetView topLeftCell="A9" workbookViewId="0">
      <selection activeCell="I8" sqref="I8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120</v>
      </c>
      <c r="D20" s="49">
        <v>100</v>
      </c>
      <c r="E20" s="50">
        <v>900</v>
      </c>
      <c r="F20" s="53">
        <f>D20*E20</f>
        <v>90000</v>
      </c>
    </row>
    <row r="21" spans="2:10" s="2" customFormat="1" ht="58">
      <c r="B21" s="11"/>
      <c r="C21" s="17" t="s">
        <v>126</v>
      </c>
      <c r="D21" s="49">
        <v>6</v>
      </c>
      <c r="E21" s="50">
        <v>880</v>
      </c>
      <c r="F21" s="53">
        <f t="shared" ref="F21:F22" si="0">D21*E21</f>
        <v>5280</v>
      </c>
    </row>
    <row r="22" spans="2:10" ht="43.5">
      <c r="B22" s="11"/>
      <c r="C22" s="12" t="s">
        <v>127</v>
      </c>
      <c r="D22" s="49">
        <v>7</v>
      </c>
      <c r="E22" s="50">
        <v>1900</v>
      </c>
      <c r="F22" s="53">
        <f t="shared" si="0"/>
        <v>13300</v>
      </c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14.5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25.5" customHeight="1">
      <c r="B28" s="163" t="s">
        <v>128</v>
      </c>
      <c r="C28" s="164"/>
      <c r="D28" s="56" t="s">
        <v>12</v>
      </c>
      <c r="E28" s="57"/>
      <c r="F28" s="58">
        <f>SUM(F20:F27)</f>
        <v>108580</v>
      </c>
      <c r="I28" t="s">
        <v>13</v>
      </c>
      <c r="J28" s="59"/>
    </row>
    <row r="29" spans="2:10" ht="15.5">
      <c r="B29" s="60"/>
      <c r="C29" s="60"/>
      <c r="D29" s="37"/>
      <c r="E29" s="37"/>
      <c r="F29" s="38"/>
      <c r="J29" s="59"/>
    </row>
    <row r="30" spans="2:10" s="25" customFormat="1" ht="14.5">
      <c r="B30" s="165" t="s">
        <v>14</v>
      </c>
      <c r="C30" s="165"/>
      <c r="D30" s="39" t="s">
        <v>15</v>
      </c>
      <c r="E30" s="165" t="s">
        <v>16</v>
      </c>
      <c r="F30" s="165"/>
      <c r="J30" s="40"/>
    </row>
    <row r="31" spans="2:10" ht="14.5">
      <c r="B31" s="149">
        <f>F28</f>
        <v>108580</v>
      </c>
      <c r="C31" s="150"/>
      <c r="D31" s="147">
        <f>E31-B31</f>
        <v>21716</v>
      </c>
      <c r="E31" s="153">
        <f>B31*1.2-B32</f>
        <v>130296</v>
      </c>
      <c r="F31" s="154"/>
    </row>
    <row r="32" spans="2:10" ht="14.5">
      <c r="B32" s="151"/>
      <c r="C32" s="152"/>
      <c r="D32" s="148"/>
      <c r="E32" s="155"/>
      <c r="F32" s="156"/>
    </row>
    <row r="33" spans="2:10" ht="14.5">
      <c r="B33" s="42"/>
      <c r="C33" s="42"/>
      <c r="D33" s="42"/>
      <c r="E33" s="42"/>
      <c r="F33" s="42"/>
      <c r="J33" t="s">
        <v>6</v>
      </c>
    </row>
    <row r="35" spans="2:10" ht="14.5"/>
    <row r="36" spans="2:10" ht="14.5"/>
    <row r="37" spans="2:10" ht="14.5">
      <c r="B37" s="61"/>
      <c r="C37" s="61"/>
      <c r="D37" s="61"/>
      <c r="E37" s="61"/>
      <c r="F37" s="61"/>
    </row>
  </sheetData>
  <mergeCells count="7">
    <mergeCell ref="B6:C6"/>
    <mergeCell ref="B28:C28"/>
    <mergeCell ref="B30:C30"/>
    <mergeCell ref="E30:F30"/>
    <mergeCell ref="D31:D32"/>
    <mergeCell ref="B31:C32"/>
    <mergeCell ref="E31:F32"/>
  </mergeCells>
  <pageMargins left="0.7" right="0.7" top="0.75" bottom="0.75" header="0.3" footer="0.3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40"/>
  <sheetViews>
    <sheetView tabSelected="1" workbookViewId="0">
      <selection activeCell="G22" sqref="G22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120</v>
      </c>
      <c r="D25" s="49">
        <v>100</v>
      </c>
      <c r="E25" s="50">
        <v>900</v>
      </c>
      <c r="F25" s="15"/>
    </row>
    <row r="26" spans="2:9" ht="43.5">
      <c r="B26" s="16"/>
      <c r="C26" s="17" t="s">
        <v>126</v>
      </c>
      <c r="D26" s="51">
        <v>6</v>
      </c>
      <c r="E26" s="50">
        <v>880</v>
      </c>
    </row>
    <row r="27" spans="2:9" ht="43.5">
      <c r="B27" s="16"/>
      <c r="C27" s="17" t="s">
        <v>127</v>
      </c>
      <c r="D27" s="51">
        <v>7</v>
      </c>
      <c r="E27" s="50">
        <v>1900</v>
      </c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129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92D050"/>
  </sheetPr>
  <dimension ref="B1:J41"/>
  <sheetViews>
    <sheetView workbookViewId="0">
      <selection activeCell="O26" sqref="O26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123</v>
      </c>
      <c r="D20" s="49">
        <v>5</v>
      </c>
      <c r="E20" s="50">
        <v>1700</v>
      </c>
      <c r="F20" s="53">
        <f>D20*E20</f>
        <v>8500</v>
      </c>
    </row>
    <row r="21" spans="2:10" s="2" customFormat="1" ht="29.25" customHeight="1">
      <c r="B21" s="11"/>
      <c r="C21" s="17"/>
      <c r="D21" s="49"/>
      <c r="E21" s="50"/>
      <c r="F21" s="53"/>
    </row>
    <row r="22" spans="2:10" ht="14.5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22.5" customHeight="1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14.5">
      <c r="B28" s="54"/>
      <c r="C28" s="54"/>
      <c r="D28" s="54"/>
      <c r="E28" s="55"/>
      <c r="F28" s="54"/>
    </row>
    <row r="29" spans="2:10" ht="14.5">
      <c r="B29" s="54"/>
      <c r="C29" s="54"/>
      <c r="D29" s="54"/>
      <c r="E29" s="55"/>
      <c r="F29" s="54"/>
    </row>
    <row r="30" spans="2:10" ht="14.5">
      <c r="B30" s="54"/>
      <c r="C30" s="54"/>
      <c r="D30" s="54"/>
      <c r="E30" s="55"/>
      <c r="F30" s="54"/>
    </row>
    <row r="31" spans="2:10" ht="25.5" customHeight="1">
      <c r="B31" s="163" t="s">
        <v>130</v>
      </c>
      <c r="C31" s="164"/>
      <c r="D31" s="56" t="s">
        <v>12</v>
      </c>
      <c r="E31" s="57"/>
      <c r="F31" s="58">
        <f>SUM(F20:F30)</f>
        <v>8500</v>
      </c>
      <c r="I31" t="s">
        <v>13</v>
      </c>
      <c r="J31" s="59"/>
    </row>
    <row r="32" spans="2:10" ht="15.5">
      <c r="B32" s="60"/>
      <c r="C32" s="60"/>
      <c r="D32" s="37"/>
      <c r="E32" s="37"/>
      <c r="F32" s="38"/>
      <c r="J32" s="59"/>
    </row>
    <row r="33" spans="2:10" ht="15.5">
      <c r="B33" s="60"/>
      <c r="C33" s="60"/>
      <c r="D33" s="37"/>
      <c r="E33" s="37"/>
      <c r="F33" s="38"/>
      <c r="J33" s="59"/>
    </row>
    <row r="34" spans="2:10" s="25" customFormat="1" ht="14.5">
      <c r="B34" s="165" t="s">
        <v>14</v>
      </c>
      <c r="C34" s="165"/>
      <c r="D34" s="39" t="s">
        <v>15</v>
      </c>
      <c r="E34" s="165" t="s">
        <v>16</v>
      </c>
      <c r="F34" s="165"/>
      <c r="J34" s="40"/>
    </row>
    <row r="35" spans="2:10" ht="14.5">
      <c r="B35" s="149">
        <f>F31</f>
        <v>8500</v>
      </c>
      <c r="C35" s="150"/>
      <c r="D35" s="147">
        <f>E35-B35</f>
        <v>1700</v>
      </c>
      <c r="E35" s="153">
        <f>B35*1.2-B36</f>
        <v>10200</v>
      </c>
      <c r="F35" s="154"/>
    </row>
    <row r="36" spans="2:10" ht="14.5">
      <c r="B36" s="151"/>
      <c r="C36" s="152"/>
      <c r="D36" s="148"/>
      <c r="E36" s="155"/>
      <c r="F36" s="156"/>
    </row>
    <row r="37" spans="2:10" ht="14.5">
      <c r="B37" s="42"/>
      <c r="C37" s="42"/>
      <c r="D37" s="42"/>
      <c r="E37" s="42"/>
      <c r="F37" s="42"/>
      <c r="J37" t="s">
        <v>6</v>
      </c>
    </row>
    <row r="39" spans="2:10" ht="14.5"/>
    <row r="40" spans="2:10" ht="14.5"/>
    <row r="41" spans="2:10" ht="14.5">
      <c r="B41" s="61"/>
      <c r="C41" s="61"/>
      <c r="D41" s="61"/>
      <c r="E41" s="61"/>
      <c r="F41" s="61"/>
    </row>
  </sheetData>
  <mergeCells count="7">
    <mergeCell ref="B6:C6"/>
    <mergeCell ref="B31:C31"/>
    <mergeCell ref="B34:C34"/>
    <mergeCell ref="E34:F34"/>
    <mergeCell ref="D35:D36"/>
    <mergeCell ref="B35:C36"/>
    <mergeCell ref="E35:F36"/>
  </mergeCells>
  <pageMargins left="0.7" right="0.7" top="0.75" bottom="0.75" header="0.3" footer="0.3"/>
  <pageSetup paperSize="9" orientation="portrait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92D050"/>
  </sheetPr>
  <dimension ref="A1:I40"/>
  <sheetViews>
    <sheetView workbookViewId="0">
      <selection activeCell="K9" sqref="K9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43.5">
      <c r="B25" s="11"/>
      <c r="C25" s="17" t="s">
        <v>123</v>
      </c>
      <c r="D25" s="49">
        <v>5</v>
      </c>
      <c r="E25" s="50">
        <v>1700</v>
      </c>
      <c r="F25" s="15"/>
    </row>
    <row r="26" spans="2:9" ht="14.5">
      <c r="B26" s="16"/>
      <c r="C26" s="17"/>
      <c r="D26" s="51"/>
      <c r="E26" s="50"/>
    </row>
    <row r="27" spans="2:9" ht="30.75" customHeight="1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131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92D050"/>
  </sheetPr>
  <dimension ref="B1:J37"/>
  <sheetViews>
    <sheetView topLeftCell="A4" workbookViewId="0">
      <selection activeCell="E38" sqref="E38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120</v>
      </c>
      <c r="D20" s="49">
        <v>38</v>
      </c>
      <c r="E20" s="50">
        <v>900</v>
      </c>
      <c r="F20" s="53">
        <f>D20*E20</f>
        <v>34200</v>
      </c>
    </row>
    <row r="21" spans="2:10" s="2" customFormat="1" ht="58">
      <c r="B21" s="11"/>
      <c r="C21" s="17" t="s">
        <v>126</v>
      </c>
      <c r="D21" s="49">
        <v>14</v>
      </c>
      <c r="E21" s="50">
        <v>880</v>
      </c>
      <c r="F21" s="53">
        <f t="shared" ref="F21:F22" si="0">D21*E21</f>
        <v>12320</v>
      </c>
    </row>
    <row r="22" spans="2:10" ht="43.5">
      <c r="B22" s="11"/>
      <c r="C22" s="12" t="s">
        <v>127</v>
      </c>
      <c r="D22" s="49">
        <v>4</v>
      </c>
      <c r="E22" s="50">
        <v>1900</v>
      </c>
      <c r="F22" s="53">
        <f t="shared" si="0"/>
        <v>7600</v>
      </c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14.5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25.5" customHeight="1">
      <c r="B28" s="163" t="s">
        <v>132</v>
      </c>
      <c r="C28" s="164"/>
      <c r="D28" s="56" t="s">
        <v>12</v>
      </c>
      <c r="E28" s="57"/>
      <c r="F28" s="58">
        <f>SUM(F20:F27)</f>
        <v>54120</v>
      </c>
      <c r="I28" t="s">
        <v>13</v>
      </c>
      <c r="J28" s="59"/>
    </row>
    <row r="29" spans="2:10" ht="15.5">
      <c r="B29" s="60"/>
      <c r="C29" s="60"/>
      <c r="D29" s="37"/>
      <c r="E29" s="37"/>
      <c r="F29" s="38"/>
      <c r="J29" s="59"/>
    </row>
    <row r="30" spans="2:10" s="25" customFormat="1" ht="14.5">
      <c r="B30" s="165" t="s">
        <v>14</v>
      </c>
      <c r="C30" s="165"/>
      <c r="D30" s="39" t="s">
        <v>15</v>
      </c>
      <c r="E30" s="165" t="s">
        <v>16</v>
      </c>
      <c r="F30" s="165"/>
      <c r="J30" s="40"/>
    </row>
    <row r="31" spans="2:10" ht="14.5">
      <c r="B31" s="149">
        <f>F28</f>
        <v>54120</v>
      </c>
      <c r="C31" s="150"/>
      <c r="D31" s="147">
        <f>E31-B31</f>
        <v>10824</v>
      </c>
      <c r="E31" s="153">
        <f>B31*1.2-B32</f>
        <v>64944</v>
      </c>
      <c r="F31" s="154"/>
    </row>
    <row r="32" spans="2:10" ht="14.5">
      <c r="B32" s="151"/>
      <c r="C32" s="152"/>
      <c r="D32" s="148"/>
      <c r="E32" s="155"/>
      <c r="F32" s="156"/>
    </row>
    <row r="33" spans="2:10" ht="14.5">
      <c r="B33" s="42"/>
      <c r="C33" s="42"/>
      <c r="D33" s="42"/>
      <c r="E33" s="42"/>
      <c r="F33" s="42"/>
      <c r="J33" t="s">
        <v>6</v>
      </c>
    </row>
    <row r="35" spans="2:10" ht="14.5"/>
    <row r="36" spans="2:10" ht="14.5"/>
    <row r="37" spans="2:10" ht="14.5">
      <c r="B37" s="61"/>
      <c r="C37" s="61"/>
      <c r="D37" s="61"/>
      <c r="E37" s="61"/>
      <c r="F37" s="61"/>
    </row>
  </sheetData>
  <mergeCells count="7">
    <mergeCell ref="B6:C6"/>
    <mergeCell ref="B28:C28"/>
    <mergeCell ref="B30:C30"/>
    <mergeCell ref="E30:F30"/>
    <mergeCell ref="D31:D32"/>
    <mergeCell ref="B31:C32"/>
    <mergeCell ref="E31:F32"/>
  </mergeCells>
  <pageMargins left="0.7" right="0.7" top="0.75" bottom="0.75" header="0.3" footer="0.3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92D050"/>
  </sheetPr>
  <dimension ref="A1:I40"/>
  <sheetViews>
    <sheetView workbookViewId="0">
      <selection activeCell="G25" sqref="G25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120</v>
      </c>
      <c r="D25" s="49">
        <v>38</v>
      </c>
      <c r="E25" s="50">
        <v>900</v>
      </c>
      <c r="F25" s="15"/>
    </row>
    <row r="26" spans="2:9" ht="43.5">
      <c r="B26" s="16"/>
      <c r="C26" s="17" t="s">
        <v>126</v>
      </c>
      <c r="D26" s="51">
        <v>14</v>
      </c>
      <c r="E26" s="50">
        <v>880</v>
      </c>
    </row>
    <row r="27" spans="2:9" ht="43.5">
      <c r="B27" s="16"/>
      <c r="C27" s="17" t="s">
        <v>127</v>
      </c>
      <c r="D27" s="51">
        <v>4</v>
      </c>
      <c r="E27" s="50">
        <v>1900</v>
      </c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133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tabColor rgb="FF92D050"/>
  </sheetPr>
  <dimension ref="B1:J37"/>
  <sheetViews>
    <sheetView topLeftCell="A4" workbookViewId="0">
      <selection activeCell="I28" sqref="I28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120</v>
      </c>
      <c r="D20" s="49">
        <v>10</v>
      </c>
      <c r="E20" s="50">
        <v>900</v>
      </c>
      <c r="F20" s="53">
        <f>D20*E20</f>
        <v>9000</v>
      </c>
    </row>
    <row r="21" spans="2:10" s="2" customFormat="1" ht="58">
      <c r="B21" s="11"/>
      <c r="C21" s="17" t="s">
        <v>126</v>
      </c>
      <c r="D21" s="49">
        <v>2</v>
      </c>
      <c r="E21" s="50">
        <v>880</v>
      </c>
      <c r="F21" s="53">
        <f t="shared" ref="F21" si="0">D21*E21</f>
        <v>1760</v>
      </c>
    </row>
    <row r="22" spans="2:10" ht="46.5" customHeight="1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14.5">
      <c r="B26" s="54"/>
      <c r="C26" s="54"/>
      <c r="D26" s="54"/>
      <c r="E26" s="55"/>
      <c r="F26" s="54"/>
    </row>
    <row r="27" spans="2:10" ht="14.5">
      <c r="B27" s="54"/>
      <c r="C27" s="54"/>
      <c r="D27" s="54"/>
      <c r="E27" s="55"/>
      <c r="F27" s="54"/>
    </row>
    <row r="28" spans="2:10" ht="25.5" customHeight="1">
      <c r="B28" s="163" t="s">
        <v>134</v>
      </c>
      <c r="C28" s="164"/>
      <c r="D28" s="56" t="s">
        <v>12</v>
      </c>
      <c r="E28" s="57"/>
      <c r="F28" s="58">
        <f>SUM(F20:F27)</f>
        <v>10760</v>
      </c>
      <c r="I28" t="s">
        <v>13</v>
      </c>
      <c r="J28" s="59"/>
    </row>
    <row r="29" spans="2:10" ht="15.5">
      <c r="B29" s="60"/>
      <c r="C29" s="60"/>
      <c r="D29" s="37"/>
      <c r="E29" s="37"/>
      <c r="F29" s="38"/>
      <c r="J29" s="59"/>
    </row>
    <row r="30" spans="2:10" s="25" customFormat="1" ht="14.5">
      <c r="B30" s="165" t="s">
        <v>14</v>
      </c>
      <c r="C30" s="165"/>
      <c r="D30" s="39" t="s">
        <v>15</v>
      </c>
      <c r="E30" s="165" t="s">
        <v>16</v>
      </c>
      <c r="F30" s="165"/>
      <c r="J30" s="40"/>
    </row>
    <row r="31" spans="2:10" ht="14.5">
      <c r="B31" s="149">
        <f>F28</f>
        <v>10760</v>
      </c>
      <c r="C31" s="150"/>
      <c r="D31" s="147">
        <f>E31-B31</f>
        <v>2152</v>
      </c>
      <c r="E31" s="153">
        <f>B31*1.2-B32</f>
        <v>12912</v>
      </c>
      <c r="F31" s="154"/>
    </row>
    <row r="32" spans="2:10" ht="14.5">
      <c r="B32" s="151"/>
      <c r="C32" s="152"/>
      <c r="D32" s="148"/>
      <c r="E32" s="155"/>
      <c r="F32" s="156"/>
    </row>
    <row r="33" spans="2:10" ht="14.5">
      <c r="B33" s="42"/>
      <c r="C33" s="42"/>
      <c r="D33" s="42"/>
      <c r="E33" s="42"/>
      <c r="F33" s="42"/>
      <c r="J33" t="s">
        <v>6</v>
      </c>
    </row>
    <row r="35" spans="2:10" ht="14.5"/>
    <row r="36" spans="2:10" ht="14.5"/>
    <row r="37" spans="2:10" ht="14.5">
      <c r="B37" s="61"/>
      <c r="C37" s="61"/>
      <c r="D37" s="61"/>
      <c r="E37" s="61"/>
      <c r="F37" s="61"/>
    </row>
  </sheetData>
  <mergeCells count="7">
    <mergeCell ref="B6:C6"/>
    <mergeCell ref="B28:C28"/>
    <mergeCell ref="B30:C30"/>
    <mergeCell ref="E30:F30"/>
    <mergeCell ref="D31:D32"/>
    <mergeCell ref="B31:C32"/>
    <mergeCell ref="E31:F32"/>
  </mergeCells>
  <pageMargins left="0.7" right="0.7" top="0.75" bottom="0.75" header="0.3" footer="0.3"/>
  <pageSetup paperSize="9" orientation="portrait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tabColor rgb="FF92D050"/>
  </sheetPr>
  <dimension ref="A1:I40"/>
  <sheetViews>
    <sheetView topLeftCell="C3" workbookViewId="0">
      <selection activeCell="Q21" sqref="Q21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120</v>
      </c>
      <c r="D25" s="49">
        <v>10</v>
      </c>
      <c r="E25" s="50">
        <v>900</v>
      </c>
      <c r="F25" s="15"/>
    </row>
    <row r="26" spans="2:9" ht="95.25" customHeight="1">
      <c r="B26" s="16"/>
      <c r="C26" s="17" t="s">
        <v>126</v>
      </c>
      <c r="D26" s="51">
        <v>2</v>
      </c>
      <c r="E26" s="50">
        <v>880</v>
      </c>
    </row>
    <row r="27" spans="2:9" ht="14.5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135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tabColor rgb="FF92D050"/>
  </sheetPr>
  <dimension ref="B1:J37"/>
  <sheetViews>
    <sheetView workbookViewId="0">
      <selection activeCell="Q21" sqref="Q21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2.453125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0" ht="14.5">
      <c r="B17" s="9"/>
      <c r="D17" s="8"/>
      <c r="E17" s="8"/>
      <c r="F17" s="8"/>
    </row>
    <row r="18" spans="2:10" ht="14.5">
      <c r="B18" s="9"/>
      <c r="D18" s="8"/>
      <c r="E18" s="8"/>
      <c r="F18" s="8"/>
    </row>
    <row r="19" spans="2:10" ht="14.5">
      <c r="B19" s="52" t="s">
        <v>0</v>
      </c>
      <c r="C19" s="52" t="s">
        <v>1</v>
      </c>
      <c r="D19" s="52" t="s">
        <v>8</v>
      </c>
      <c r="E19" s="52" t="s">
        <v>9</v>
      </c>
      <c r="F19" s="52" t="s">
        <v>10</v>
      </c>
    </row>
    <row r="20" spans="2:10" ht="70.5" customHeight="1">
      <c r="B20" s="11"/>
      <c r="C20" s="17" t="s">
        <v>120</v>
      </c>
      <c r="D20" s="49">
        <v>25</v>
      </c>
      <c r="E20" s="50">
        <v>900</v>
      </c>
      <c r="F20" s="53">
        <f>D20*E20</f>
        <v>22500</v>
      </c>
    </row>
    <row r="21" spans="2:10" s="2" customFormat="1" ht="14.5">
      <c r="B21" s="11"/>
      <c r="C21" s="17"/>
      <c r="D21" s="49"/>
      <c r="E21" s="50"/>
      <c r="F21" s="53"/>
    </row>
    <row r="22" spans="2:10" ht="46.5" customHeight="1">
      <c r="B22" s="11"/>
      <c r="C22" s="12"/>
      <c r="D22" s="49"/>
      <c r="E22" s="50"/>
      <c r="F22" s="53"/>
    </row>
    <row r="23" spans="2:10" ht="14.5">
      <c r="B23" s="54"/>
      <c r="C23" s="54"/>
      <c r="D23" s="54"/>
      <c r="E23" s="37"/>
      <c r="F23" s="54"/>
    </row>
    <row r="24" spans="2:10" ht="14.5">
      <c r="B24" s="54"/>
      <c r="C24" s="54"/>
      <c r="D24" s="54"/>
      <c r="E24" s="37"/>
      <c r="F24" s="54"/>
    </row>
    <row r="25" spans="2:10" ht="22.5" customHeight="1">
      <c r="B25" s="54"/>
      <c r="C25" s="54"/>
      <c r="D25" s="54"/>
      <c r="E25" s="55"/>
      <c r="F25" s="54"/>
    </row>
    <row r="26" spans="2:10" ht="14.5">
      <c r="B26" s="54"/>
      <c r="C26" s="54"/>
      <c r="D26" s="54"/>
      <c r="E26" s="55"/>
      <c r="F26" s="54"/>
    </row>
    <row r="27" spans="2:10" ht="42.75" customHeight="1">
      <c r="B27" s="54"/>
      <c r="C27" s="54"/>
      <c r="D27" s="54"/>
      <c r="E27" s="55"/>
      <c r="F27" s="54"/>
    </row>
    <row r="28" spans="2:10" ht="25.5" customHeight="1">
      <c r="B28" s="163" t="s">
        <v>136</v>
      </c>
      <c r="C28" s="164"/>
      <c r="D28" s="56" t="s">
        <v>12</v>
      </c>
      <c r="E28" s="57"/>
      <c r="F28" s="58">
        <f>SUM(F20:F27)</f>
        <v>22500</v>
      </c>
      <c r="I28" t="s">
        <v>13</v>
      </c>
      <c r="J28" s="59"/>
    </row>
    <row r="29" spans="2:10" ht="15.5">
      <c r="B29" s="60"/>
      <c r="C29" s="60"/>
      <c r="D29" s="37"/>
      <c r="E29" s="37"/>
      <c r="F29" s="38"/>
      <c r="J29" s="59"/>
    </row>
    <row r="30" spans="2:10" s="25" customFormat="1" ht="14.5">
      <c r="B30" s="165" t="s">
        <v>14</v>
      </c>
      <c r="C30" s="165"/>
      <c r="D30" s="39" t="s">
        <v>15</v>
      </c>
      <c r="E30" s="165" t="s">
        <v>16</v>
      </c>
      <c r="F30" s="165"/>
      <c r="J30" s="40"/>
    </row>
    <row r="31" spans="2:10" ht="14.5">
      <c r="B31" s="149">
        <f>F28</f>
        <v>22500</v>
      </c>
      <c r="C31" s="150"/>
      <c r="D31" s="147">
        <f>E31-B31</f>
        <v>4500</v>
      </c>
      <c r="E31" s="153">
        <f>B31*1.2-B32</f>
        <v>27000</v>
      </c>
      <c r="F31" s="154"/>
    </row>
    <row r="32" spans="2:10" ht="14.5">
      <c r="B32" s="151"/>
      <c r="C32" s="152"/>
      <c r="D32" s="148"/>
      <c r="E32" s="155"/>
      <c r="F32" s="156"/>
    </row>
    <row r="33" spans="2:10" ht="14.5">
      <c r="B33" s="42"/>
      <c r="C33" s="42"/>
      <c r="D33" s="42"/>
      <c r="E33" s="42"/>
      <c r="F33" s="42"/>
      <c r="J33" t="s">
        <v>6</v>
      </c>
    </row>
    <row r="35" spans="2:10" ht="14.5"/>
    <row r="36" spans="2:10" ht="14.5"/>
    <row r="37" spans="2:10" ht="14.5">
      <c r="B37" s="61"/>
      <c r="C37" s="61"/>
      <c r="D37" s="61"/>
      <c r="E37" s="61"/>
      <c r="F37" s="61"/>
    </row>
  </sheetData>
  <mergeCells count="7">
    <mergeCell ref="B6:C6"/>
    <mergeCell ref="B28:C28"/>
    <mergeCell ref="B30:C30"/>
    <mergeCell ref="E30:F30"/>
    <mergeCell ref="D31:D32"/>
    <mergeCell ref="B31:C32"/>
    <mergeCell ref="E31:F32"/>
  </mergeCells>
  <pageMargins left="0.7" right="0.7" top="0.75" bottom="0.75" header="0.3" footer="0.3"/>
  <pageSetup paperSize="9" orientation="portrait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tabColor rgb="FF92D050"/>
  </sheetPr>
  <dimension ref="A1:I40"/>
  <sheetViews>
    <sheetView topLeftCell="A6" workbookViewId="0">
      <selection activeCell="H13" sqref="H13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8">
      <c r="B25" s="11"/>
      <c r="C25" s="17" t="s">
        <v>120</v>
      </c>
      <c r="D25" s="49">
        <v>25</v>
      </c>
      <c r="E25" s="50">
        <v>900</v>
      </c>
      <c r="F25" s="15"/>
    </row>
    <row r="26" spans="2:9" ht="95.25" customHeight="1">
      <c r="B26" s="16"/>
      <c r="C26" s="17"/>
      <c r="D26" s="51"/>
      <c r="E26" s="50"/>
    </row>
    <row r="27" spans="2:9" ht="14.5">
      <c r="B27" s="16"/>
      <c r="C27" s="17"/>
      <c r="D27" s="51"/>
      <c r="E27" s="50"/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14.5">
      <c r="B33" s="21"/>
      <c r="C33" s="22"/>
      <c r="D33" s="22"/>
      <c r="E33" s="22"/>
    </row>
    <row r="34" spans="1:6" ht="14.5">
      <c r="A34" s="23"/>
      <c r="B34" s="23"/>
      <c r="C34" s="137" t="s">
        <v>137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B1:M36"/>
  <sheetViews>
    <sheetView topLeftCell="A10" workbookViewId="0">
      <selection activeCell="B35" sqref="B35:E35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0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3" ht="14.5">
      <c r="B17" s="9"/>
      <c r="D17" s="8"/>
      <c r="E17" s="8"/>
      <c r="F17" s="8"/>
    </row>
    <row r="18" spans="2:13" ht="14.5">
      <c r="B18" s="9"/>
      <c r="D18" s="8"/>
      <c r="E18" s="8"/>
      <c r="F18" s="8"/>
    </row>
    <row r="19" spans="2:13" ht="14.5">
      <c r="B19" s="27" t="s">
        <v>0</v>
      </c>
      <c r="C19" s="28" t="s">
        <v>1</v>
      </c>
      <c r="D19" s="28" t="s">
        <v>8</v>
      </c>
      <c r="E19" s="28" t="s">
        <v>9</v>
      </c>
      <c r="F19" s="29" t="s">
        <v>10</v>
      </c>
    </row>
    <row r="20" spans="2:13" ht="29">
      <c r="B20" s="30"/>
      <c r="C20" s="12" t="s">
        <v>83</v>
      </c>
      <c r="D20" s="13">
        <v>1983.75</v>
      </c>
      <c r="E20" s="14">
        <v>22.5</v>
      </c>
      <c r="F20" s="31">
        <f>D20*E20</f>
        <v>44634.375</v>
      </c>
    </row>
    <row r="21" spans="2:13" s="2" customFormat="1" ht="29">
      <c r="B21" s="30"/>
      <c r="C21" s="12" t="s">
        <v>138</v>
      </c>
      <c r="D21" s="13">
        <v>2369.08</v>
      </c>
      <c r="E21" s="14">
        <v>21.5</v>
      </c>
      <c r="F21" s="31">
        <f>D21*E21</f>
        <v>50935.22</v>
      </c>
    </row>
    <row r="22" spans="2:13" ht="14.5">
      <c r="B22" s="30"/>
      <c r="C22" s="12" t="s">
        <v>139</v>
      </c>
      <c r="D22" s="13">
        <v>185.35</v>
      </c>
      <c r="E22" s="14">
        <v>116</v>
      </c>
      <c r="F22" s="31">
        <f>D22*E22</f>
        <v>21500.6</v>
      </c>
    </row>
    <row r="23" spans="2:13" ht="14.5">
      <c r="B23" s="32"/>
      <c r="C23" s="12"/>
      <c r="D23" s="13"/>
      <c r="E23" s="14"/>
      <c r="F23" s="31"/>
    </row>
    <row r="24" spans="2:13" ht="15.5">
      <c r="B24" s="163" t="s">
        <v>140</v>
      </c>
      <c r="C24" s="164"/>
      <c r="D24" s="33" t="s">
        <v>12</v>
      </c>
      <c r="E24" s="34"/>
      <c r="F24" s="35">
        <f>SUM(F20:F23)</f>
        <v>117070.19500000001</v>
      </c>
    </row>
    <row r="25" spans="2:13" ht="15.5">
      <c r="B25" s="36"/>
      <c r="C25" s="36"/>
      <c r="D25" s="37"/>
      <c r="E25" s="37"/>
      <c r="F25" s="38"/>
    </row>
    <row r="26" spans="2:13" s="25" customFormat="1" ht="14.5">
      <c r="B26" s="177" t="s">
        <v>14</v>
      </c>
      <c r="C26" s="178"/>
      <c r="D26" s="47" t="s">
        <v>15</v>
      </c>
      <c r="E26" s="178" t="s">
        <v>16</v>
      </c>
      <c r="F26" s="179"/>
      <c r="M26" s="41"/>
    </row>
    <row r="27" spans="2:13" ht="14.5">
      <c r="B27" s="182">
        <f>F24</f>
        <v>117070.19500000001</v>
      </c>
      <c r="C27" s="183"/>
      <c r="D27" s="180">
        <f>E27-B27</f>
        <v>23414.039000000001</v>
      </c>
      <c r="E27" s="186">
        <f>B27*1.2-B28</f>
        <v>140484.234</v>
      </c>
      <c r="F27" s="187"/>
    </row>
    <row r="28" spans="2:13" ht="14.5">
      <c r="B28" s="184"/>
      <c r="C28" s="185"/>
      <c r="D28" s="181"/>
      <c r="E28" s="188"/>
      <c r="F28" s="189"/>
    </row>
    <row r="29" spans="2:13" ht="14.5">
      <c r="B29" s="42"/>
      <c r="C29" s="42"/>
      <c r="D29" s="42"/>
      <c r="E29" s="42"/>
      <c r="F29" s="42"/>
      <c r="J29" t="s">
        <v>6</v>
      </c>
    </row>
    <row r="30" spans="2:13" ht="14.5">
      <c r="B30" s="167" t="s">
        <v>141</v>
      </c>
      <c r="C30" s="167"/>
      <c r="D30" s="167"/>
      <c r="E30" s="167"/>
      <c r="F30" s="43">
        <f>F24*10%</f>
        <v>11707.0195</v>
      </c>
    </row>
    <row r="31" spans="2:13" ht="14.5">
      <c r="B31" s="167" t="s">
        <v>142</v>
      </c>
      <c r="C31" s="167"/>
      <c r="D31" s="167"/>
      <c r="E31" s="167"/>
      <c r="F31" s="43">
        <f>F24*2%</f>
        <v>2341.4038999999998</v>
      </c>
    </row>
    <row r="32" spans="2:13" ht="14.5">
      <c r="B32" s="167" t="s">
        <v>143</v>
      </c>
      <c r="C32" s="167"/>
      <c r="D32" s="167"/>
      <c r="E32" s="167"/>
      <c r="F32" s="43">
        <f>F24*1.2%</f>
        <v>1404.8423399999999</v>
      </c>
    </row>
    <row r="33" spans="2:6" ht="14.5">
      <c r="B33" s="44"/>
      <c r="C33" s="44"/>
      <c r="D33" s="44"/>
      <c r="E33" s="44"/>
      <c r="F33" s="48"/>
    </row>
    <row r="34" spans="2:6" ht="15.5">
      <c r="B34" s="168" t="s">
        <v>144</v>
      </c>
      <c r="C34" s="169"/>
      <c r="D34" s="169"/>
      <c r="E34" s="170"/>
      <c r="F34" s="46">
        <f>F24-F30-F31-F32</f>
        <v>101616.92926</v>
      </c>
    </row>
    <row r="35" spans="2:6" ht="15.5">
      <c r="B35" s="171" t="s">
        <v>145</v>
      </c>
      <c r="C35" s="172"/>
      <c r="D35" s="172"/>
      <c r="E35" s="173"/>
      <c r="F35" s="46">
        <f>F34*20%</f>
        <v>20323.385851999999</v>
      </c>
    </row>
    <row r="36" spans="2:6" ht="15.5">
      <c r="B36" s="174" t="s">
        <v>146</v>
      </c>
      <c r="C36" s="175"/>
      <c r="D36" s="175"/>
      <c r="E36" s="176"/>
      <c r="F36" s="46">
        <f>F34+F35</f>
        <v>121940.315112</v>
      </c>
    </row>
  </sheetData>
  <mergeCells count="13">
    <mergeCell ref="B6:C6"/>
    <mergeCell ref="B24:C24"/>
    <mergeCell ref="B26:C26"/>
    <mergeCell ref="E26:F26"/>
    <mergeCell ref="B30:E30"/>
    <mergeCell ref="D27:D28"/>
    <mergeCell ref="B27:C28"/>
    <mergeCell ref="E27:F28"/>
    <mergeCell ref="B31:E31"/>
    <mergeCell ref="B32:E32"/>
    <mergeCell ref="B34:E34"/>
    <mergeCell ref="B35:E35"/>
    <mergeCell ref="B36:E36"/>
  </mergeCells>
  <pageMargins left="0.7" right="0.7" top="0.75" bottom="0.75" header="0.3" footer="0.3"/>
  <pageSetup paperSize="9" orientation="portrait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I40"/>
  <sheetViews>
    <sheetView workbookViewId="0">
      <selection activeCell="H34" sqref="H34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36.75" customHeight="1">
      <c r="B25" s="11"/>
      <c r="C25" s="12" t="s">
        <v>83</v>
      </c>
      <c r="D25" s="13">
        <v>1983.75</v>
      </c>
      <c r="E25" s="14">
        <v>22.5</v>
      </c>
      <c r="F25" s="15"/>
    </row>
    <row r="26" spans="2:9" ht="57" customHeight="1">
      <c r="B26" s="16"/>
      <c r="C26" s="12" t="s">
        <v>138</v>
      </c>
      <c r="D26" s="13">
        <v>2369.08</v>
      </c>
      <c r="E26" s="14">
        <v>21.5</v>
      </c>
    </row>
    <row r="27" spans="2:9" ht="20.25" customHeight="1">
      <c r="B27" s="16"/>
      <c r="C27" s="12" t="s">
        <v>139</v>
      </c>
      <c r="D27" s="13">
        <v>185.35</v>
      </c>
      <c r="E27" s="14">
        <v>116</v>
      </c>
    </row>
    <row r="28" spans="2:9" ht="14.5">
      <c r="B28" s="16"/>
      <c r="C28" s="17"/>
      <c r="D28" s="18"/>
      <c r="E28" s="18"/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41.25" customHeight="1">
      <c r="B33" s="21"/>
      <c r="C33" s="22"/>
      <c r="D33" s="22"/>
      <c r="E33" s="22"/>
    </row>
    <row r="34" spans="1:6" ht="14.5">
      <c r="A34" s="23"/>
      <c r="B34" s="23"/>
      <c r="C34" s="137" t="s">
        <v>147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B1:M36"/>
  <sheetViews>
    <sheetView topLeftCell="A13" workbookViewId="0">
      <selection activeCell="L30" sqref="L30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0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3" ht="14.5">
      <c r="B17" s="9"/>
      <c r="D17" s="8"/>
      <c r="E17" s="8"/>
      <c r="F17" s="8"/>
    </row>
    <row r="18" spans="2:13" ht="14.5">
      <c r="B18" s="9"/>
      <c r="D18" s="8"/>
      <c r="E18" s="8"/>
      <c r="F18" s="8"/>
    </row>
    <row r="19" spans="2:13" ht="14.5">
      <c r="B19" s="27" t="s">
        <v>0</v>
      </c>
      <c r="C19" s="28" t="s">
        <v>1</v>
      </c>
      <c r="D19" s="28" t="s">
        <v>8</v>
      </c>
      <c r="E19" s="28" t="s">
        <v>9</v>
      </c>
      <c r="F19" s="29" t="s">
        <v>10</v>
      </c>
    </row>
    <row r="20" spans="2:13" ht="40.5" customHeight="1">
      <c r="B20" s="30"/>
      <c r="C20" s="12" t="s">
        <v>83</v>
      </c>
      <c r="D20" s="13">
        <v>1120.27</v>
      </c>
      <c r="E20" s="14">
        <v>22.5</v>
      </c>
      <c r="F20" s="31">
        <f>D20*E20</f>
        <v>25206.075000000001</v>
      </c>
    </row>
    <row r="21" spans="2:13" s="2" customFormat="1" ht="44.25" customHeight="1">
      <c r="B21" s="30"/>
      <c r="C21" s="12" t="s">
        <v>138</v>
      </c>
      <c r="D21" s="13">
        <v>2220.17</v>
      </c>
      <c r="E21" s="14">
        <v>21.5</v>
      </c>
      <c r="F21" s="31">
        <f t="shared" ref="F21:F23" si="0">D21*E21</f>
        <v>47733.654999999999</v>
      </c>
    </row>
    <row r="22" spans="2:13" ht="30.75" customHeight="1">
      <c r="B22" s="30"/>
      <c r="C22" s="12" t="s">
        <v>139</v>
      </c>
      <c r="D22" s="13">
        <v>145.13999999999999</v>
      </c>
      <c r="E22" s="14">
        <v>116</v>
      </c>
      <c r="F22" s="31">
        <f t="shared" si="0"/>
        <v>16836.240000000002</v>
      </c>
    </row>
    <row r="23" spans="2:13" ht="33" customHeight="1">
      <c r="B23" s="32"/>
      <c r="C23" s="12" t="s">
        <v>88</v>
      </c>
      <c r="D23" s="13">
        <v>86.27</v>
      </c>
      <c r="E23" s="14">
        <v>22.5</v>
      </c>
      <c r="F23" s="31">
        <f t="shared" si="0"/>
        <v>1941.075</v>
      </c>
    </row>
    <row r="24" spans="2:13" ht="15.5">
      <c r="B24" s="163" t="s">
        <v>148</v>
      </c>
      <c r="C24" s="164"/>
      <c r="D24" s="33" t="s">
        <v>12</v>
      </c>
      <c r="E24" s="34"/>
      <c r="F24" s="35">
        <f>SUM(F20:F23)</f>
        <v>91717.044999999998</v>
      </c>
    </row>
    <row r="25" spans="2:13" ht="15.5">
      <c r="B25" s="36"/>
      <c r="C25" s="36"/>
      <c r="D25" s="37"/>
      <c r="E25" s="37"/>
      <c r="F25" s="38"/>
    </row>
    <row r="26" spans="2:13" s="25" customFormat="1" ht="14.5">
      <c r="B26" s="165" t="s">
        <v>14</v>
      </c>
      <c r="C26" s="165"/>
      <c r="D26" s="39" t="s">
        <v>15</v>
      </c>
      <c r="E26" s="165" t="s">
        <v>16</v>
      </c>
      <c r="F26" s="165"/>
      <c r="J26" s="40"/>
      <c r="M26" s="41"/>
    </row>
    <row r="27" spans="2:13" ht="14.5">
      <c r="B27" s="149">
        <f>F24</f>
        <v>91717.044999999998</v>
      </c>
      <c r="C27" s="150"/>
      <c r="D27" s="147">
        <f>E27-B27</f>
        <v>18343.409</v>
      </c>
      <c r="E27" s="190">
        <f>B27*1.2-B28</f>
        <v>110060.454</v>
      </c>
      <c r="F27" s="191"/>
    </row>
    <row r="28" spans="2:13" ht="14.5">
      <c r="B28" s="151"/>
      <c r="C28" s="152"/>
      <c r="D28" s="148"/>
      <c r="E28" s="192"/>
      <c r="F28" s="193"/>
    </row>
    <row r="29" spans="2:13" ht="14.5">
      <c r="B29" s="42"/>
      <c r="C29" s="42"/>
      <c r="D29" s="42"/>
      <c r="E29" s="42"/>
      <c r="F29" s="42"/>
      <c r="J29" t="s">
        <v>6</v>
      </c>
    </row>
    <row r="30" spans="2:13" ht="18" customHeight="1">
      <c r="B30" s="167" t="s">
        <v>141</v>
      </c>
      <c r="C30" s="167"/>
      <c r="D30" s="167"/>
      <c r="E30" s="167"/>
      <c r="F30" s="43">
        <f>F24*10%</f>
        <v>9171.7044999999998</v>
      </c>
    </row>
    <row r="31" spans="2:13" ht="14.5">
      <c r="B31" s="167" t="s">
        <v>142</v>
      </c>
      <c r="C31" s="167"/>
      <c r="D31" s="167"/>
      <c r="E31" s="167"/>
      <c r="F31" s="43">
        <f>F24*2%</f>
        <v>1834.3408999999999</v>
      </c>
    </row>
    <row r="32" spans="2:13" ht="14.5">
      <c r="B32" s="167" t="s">
        <v>143</v>
      </c>
      <c r="C32" s="167"/>
      <c r="D32" s="167"/>
      <c r="E32" s="167"/>
      <c r="F32" s="43">
        <f>F24*1.2%</f>
        <v>1100.60454</v>
      </c>
    </row>
    <row r="33" spans="2:6" ht="14.5">
      <c r="B33" s="44"/>
      <c r="C33" s="44"/>
      <c r="D33" s="44"/>
      <c r="E33" s="44"/>
      <c r="F33" s="45"/>
    </row>
    <row r="34" spans="2:6" ht="27.75" customHeight="1">
      <c r="B34" s="168" t="s">
        <v>144</v>
      </c>
      <c r="C34" s="169"/>
      <c r="D34" s="169"/>
      <c r="E34" s="170"/>
      <c r="F34" s="46">
        <f>F24-F30-F31-F32</f>
        <v>79610.395059999995</v>
      </c>
    </row>
    <row r="35" spans="2:6" ht="27" customHeight="1">
      <c r="B35" s="171" t="s">
        <v>145</v>
      </c>
      <c r="C35" s="172"/>
      <c r="D35" s="172"/>
      <c r="E35" s="173"/>
      <c r="F35" s="46">
        <f>F34*20%</f>
        <v>15922.079012</v>
      </c>
    </row>
    <row r="36" spans="2:6" ht="33.75" customHeight="1">
      <c r="B36" s="174" t="s">
        <v>146</v>
      </c>
      <c r="C36" s="175"/>
      <c r="D36" s="175"/>
      <c r="E36" s="176"/>
      <c r="F36" s="46">
        <f>F34+F35</f>
        <v>95532.474071999997</v>
      </c>
    </row>
  </sheetData>
  <mergeCells count="13">
    <mergeCell ref="B6:C6"/>
    <mergeCell ref="B24:C24"/>
    <mergeCell ref="B26:C26"/>
    <mergeCell ref="E26:F26"/>
    <mergeCell ref="B30:E30"/>
    <mergeCell ref="D27:D28"/>
    <mergeCell ref="B27:C28"/>
    <mergeCell ref="E27:F28"/>
    <mergeCell ref="B31:E31"/>
    <mergeCell ref="B32:E32"/>
    <mergeCell ref="B34:E34"/>
    <mergeCell ref="B35:E35"/>
    <mergeCell ref="B36:E36"/>
  </mergeCells>
  <pageMargins left="0.7" right="0.7" top="0.75" bottom="0.75" header="0.3" footer="0.3"/>
  <pageSetup paperSize="9" orientation="portrait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I40"/>
  <sheetViews>
    <sheetView workbookViewId="0">
      <selection activeCell="K33" sqref="K33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4" customHeight="1">
      <c r="B25" s="11"/>
      <c r="C25" s="12" t="s">
        <v>83</v>
      </c>
      <c r="D25" s="13">
        <v>1120.27</v>
      </c>
      <c r="E25" s="14">
        <v>22.5</v>
      </c>
      <c r="F25" s="15"/>
    </row>
    <row r="26" spans="2:9" ht="42.75" customHeight="1">
      <c r="B26" s="16"/>
      <c r="C26" s="12" t="s">
        <v>138</v>
      </c>
      <c r="D26" s="13">
        <v>2220.17</v>
      </c>
      <c r="E26" s="14">
        <v>21.5</v>
      </c>
    </row>
    <row r="27" spans="2:9" ht="34.5" customHeight="1">
      <c r="B27" s="16"/>
      <c r="C27" s="12" t="s">
        <v>139</v>
      </c>
      <c r="D27" s="13">
        <v>145.13999999999999</v>
      </c>
      <c r="E27" s="14">
        <v>116</v>
      </c>
    </row>
    <row r="28" spans="2:9" ht="44.25" customHeight="1">
      <c r="B28" s="16"/>
      <c r="C28" s="12" t="s">
        <v>88</v>
      </c>
      <c r="D28" s="13">
        <v>86.27</v>
      </c>
      <c r="E28" s="14">
        <v>22.5</v>
      </c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41.25" customHeight="1">
      <c r="B33" s="21"/>
      <c r="C33" s="22"/>
      <c r="D33" s="22"/>
      <c r="E33" s="22"/>
    </row>
    <row r="34" spans="1:6" ht="14.5">
      <c r="A34" s="23"/>
      <c r="B34" s="23"/>
      <c r="C34" s="137" t="s">
        <v>149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B1:M36"/>
  <sheetViews>
    <sheetView topLeftCell="A6" workbookViewId="0">
      <selection activeCell="I36" sqref="I36"/>
    </sheetView>
  </sheetViews>
  <sheetFormatPr baseColWidth="10" defaultColWidth="11" defaultRowHeight="37.5" customHeight="1"/>
  <cols>
    <col min="1" max="1" width="1.81640625" customWidth="1"/>
    <col min="2" max="2" width="10.7265625" customWidth="1"/>
    <col min="3" max="3" width="32.26953125" customWidth="1"/>
    <col min="4" max="4" width="11.1796875" customWidth="1"/>
    <col min="5" max="5" width="8.54296875" customWidth="1"/>
    <col min="6" max="6" width="20" customWidth="1"/>
  </cols>
  <sheetData>
    <row r="1" spans="2:6" ht="14.5"/>
    <row r="2" spans="2:6" ht="14.5">
      <c r="D2" s="1"/>
      <c r="E2" s="2"/>
      <c r="F2" s="2"/>
    </row>
    <row r="3" spans="2:6" ht="14.5">
      <c r="D3" s="1"/>
      <c r="E3" s="2"/>
      <c r="F3" s="2"/>
    </row>
    <row r="4" spans="2:6" ht="14.5">
      <c r="D4" s="1"/>
      <c r="E4" s="2"/>
      <c r="F4" s="2"/>
    </row>
    <row r="5" spans="2:6" ht="14.5">
      <c r="D5" s="1"/>
      <c r="E5" s="2"/>
      <c r="F5" s="2"/>
    </row>
    <row r="6" spans="2:6" ht="15.5">
      <c r="B6" s="143"/>
      <c r="C6" s="143"/>
      <c r="D6" s="3"/>
      <c r="E6" s="2"/>
      <c r="F6" s="2"/>
    </row>
    <row r="7" spans="2:6" ht="14.5">
      <c r="D7" s="4"/>
    </row>
    <row r="8" spans="2:6" ht="14.5"/>
    <row r="9" spans="2:6" ht="14.5">
      <c r="D9" s="5"/>
      <c r="F9" s="6"/>
    </row>
    <row r="10" spans="2:6" ht="14.5">
      <c r="D10" s="5"/>
      <c r="F10" s="6"/>
    </row>
    <row r="11" spans="2:6" ht="14.5">
      <c r="D11" s="5"/>
      <c r="F11" s="6"/>
    </row>
    <row r="12" spans="2:6" ht="14.5">
      <c r="D12" s="5"/>
      <c r="F12" s="6"/>
    </row>
    <row r="13" spans="2:6" ht="14.5">
      <c r="D13" s="5"/>
      <c r="F13" s="6"/>
    </row>
    <row r="14" spans="2:6" ht="14.5">
      <c r="D14" s="5"/>
      <c r="F14" s="6"/>
    </row>
    <row r="15" spans="2:6" ht="14.5">
      <c r="B15" s="7"/>
      <c r="D15" s="26"/>
      <c r="E15" s="8"/>
      <c r="F15" s="8"/>
    </row>
    <row r="16" spans="2:6" ht="14.5">
      <c r="B16" s="9"/>
      <c r="D16" s="8"/>
      <c r="E16" s="8"/>
      <c r="F16" s="8"/>
    </row>
    <row r="17" spans="2:13" ht="14.5">
      <c r="B17" s="9"/>
      <c r="D17" s="8"/>
      <c r="E17" s="8"/>
      <c r="F17" s="8"/>
    </row>
    <row r="18" spans="2:13" ht="14.5">
      <c r="B18" s="9"/>
      <c r="D18" s="8"/>
      <c r="E18" s="8"/>
      <c r="F18" s="8"/>
    </row>
    <row r="19" spans="2:13" ht="14.5">
      <c r="B19" s="27" t="s">
        <v>0</v>
      </c>
      <c r="C19" s="28" t="s">
        <v>1</v>
      </c>
      <c r="D19" s="28" t="s">
        <v>8</v>
      </c>
      <c r="E19" s="28" t="s">
        <v>9</v>
      </c>
      <c r="F19" s="29" t="s">
        <v>10</v>
      </c>
    </row>
    <row r="20" spans="2:13" ht="40.5" customHeight="1">
      <c r="B20" s="30"/>
      <c r="C20" s="12" t="s">
        <v>83</v>
      </c>
      <c r="D20" s="13">
        <v>942.4</v>
      </c>
      <c r="E20" s="14">
        <v>22.5</v>
      </c>
      <c r="F20" s="31">
        <f>D20*E20</f>
        <v>21204</v>
      </c>
    </row>
    <row r="21" spans="2:13" s="2" customFormat="1" ht="44.25" customHeight="1">
      <c r="B21" s="30"/>
      <c r="C21" s="12" t="s">
        <v>138</v>
      </c>
      <c r="D21" s="13">
        <v>1776.56</v>
      </c>
      <c r="E21" s="14">
        <v>21.5</v>
      </c>
      <c r="F21" s="31">
        <f t="shared" ref="F21:F23" si="0">D21*E21</f>
        <v>38196.04</v>
      </c>
    </row>
    <row r="22" spans="2:13" ht="30.75" customHeight="1">
      <c r="B22" s="30"/>
      <c r="C22" s="12" t="s">
        <v>139</v>
      </c>
      <c r="D22" s="13">
        <v>90.24</v>
      </c>
      <c r="E22" s="14">
        <v>116</v>
      </c>
      <c r="F22" s="31">
        <f t="shared" si="0"/>
        <v>10467.84</v>
      </c>
    </row>
    <row r="23" spans="2:13" ht="33" customHeight="1">
      <c r="B23" s="32"/>
      <c r="C23" s="12" t="s">
        <v>88</v>
      </c>
      <c r="D23" s="13">
        <v>71.34</v>
      </c>
      <c r="E23" s="14">
        <v>22.5</v>
      </c>
      <c r="F23" s="31">
        <f t="shared" si="0"/>
        <v>1605.15</v>
      </c>
    </row>
    <row r="24" spans="2:13" ht="15.5">
      <c r="B24" s="194" t="s">
        <v>150</v>
      </c>
      <c r="C24" s="195"/>
      <c r="D24" s="33" t="s">
        <v>12</v>
      </c>
      <c r="E24" s="34"/>
      <c r="F24" s="35">
        <f>SUM(F20:F23)</f>
        <v>71473.03</v>
      </c>
    </row>
    <row r="25" spans="2:13" ht="15.5">
      <c r="B25" s="36"/>
      <c r="C25" s="36"/>
      <c r="D25" s="37"/>
      <c r="E25" s="37"/>
      <c r="F25" s="38"/>
    </row>
    <row r="26" spans="2:13" s="25" customFormat="1" ht="14.5">
      <c r="B26" s="165" t="s">
        <v>14</v>
      </c>
      <c r="C26" s="165"/>
      <c r="D26" s="39" t="s">
        <v>15</v>
      </c>
      <c r="E26" s="165" t="s">
        <v>16</v>
      </c>
      <c r="F26" s="165"/>
      <c r="J26" s="40"/>
      <c r="M26" s="41"/>
    </row>
    <row r="27" spans="2:13" ht="14.5">
      <c r="B27" s="149">
        <f>F24</f>
        <v>71473.03</v>
      </c>
      <c r="C27" s="150"/>
      <c r="D27" s="147">
        <f>E27-B27</f>
        <v>14294.606</v>
      </c>
      <c r="E27" s="190">
        <f>B27*1.2-B28</f>
        <v>85767.635999999999</v>
      </c>
      <c r="F27" s="191"/>
    </row>
    <row r="28" spans="2:13" ht="14.5">
      <c r="B28" s="151"/>
      <c r="C28" s="152"/>
      <c r="D28" s="148"/>
      <c r="E28" s="192"/>
      <c r="F28" s="193"/>
    </row>
    <row r="29" spans="2:13" ht="14.5">
      <c r="B29" s="42"/>
      <c r="C29" s="42"/>
      <c r="D29" s="42"/>
      <c r="E29" s="42"/>
      <c r="F29" s="42"/>
      <c r="J29" t="s">
        <v>6</v>
      </c>
    </row>
    <row r="30" spans="2:13" ht="18" customHeight="1">
      <c r="B30" s="167" t="s">
        <v>141</v>
      </c>
      <c r="C30" s="167"/>
      <c r="D30" s="167"/>
      <c r="E30" s="167"/>
      <c r="F30" s="43">
        <f>F24*10%</f>
        <v>7147.3029999999999</v>
      </c>
    </row>
    <row r="31" spans="2:13" ht="14.5">
      <c r="B31" s="167" t="s">
        <v>142</v>
      </c>
      <c r="C31" s="167"/>
      <c r="D31" s="167"/>
      <c r="E31" s="167"/>
      <c r="F31" s="43">
        <f>F24*2%</f>
        <v>1429.4606000000001</v>
      </c>
    </row>
    <row r="32" spans="2:13" ht="14.5">
      <c r="B32" s="167" t="s">
        <v>143</v>
      </c>
      <c r="C32" s="167"/>
      <c r="D32" s="167"/>
      <c r="E32" s="167"/>
      <c r="F32" s="43">
        <f>F24*1.2%</f>
        <v>857.67636000000005</v>
      </c>
    </row>
    <row r="33" spans="2:6" ht="14.5">
      <c r="B33" s="44"/>
      <c r="C33" s="44"/>
      <c r="D33" s="44"/>
      <c r="E33" s="44"/>
      <c r="F33" s="45"/>
    </row>
    <row r="34" spans="2:6" ht="27.75" customHeight="1">
      <c r="B34" s="168" t="s">
        <v>151</v>
      </c>
      <c r="C34" s="169"/>
      <c r="D34" s="169"/>
      <c r="E34" s="170"/>
      <c r="F34" s="46">
        <f>F24-F30-F31-F32</f>
        <v>62038.590040000003</v>
      </c>
    </row>
    <row r="35" spans="2:6" ht="27" customHeight="1">
      <c r="B35" s="171" t="s">
        <v>145</v>
      </c>
      <c r="C35" s="172"/>
      <c r="D35" s="172"/>
      <c r="E35" s="173"/>
      <c r="F35" s="46">
        <f>F34*20%</f>
        <v>12407.718008</v>
      </c>
    </row>
    <row r="36" spans="2:6" ht="33.75" customHeight="1">
      <c r="B36" s="174" t="s">
        <v>152</v>
      </c>
      <c r="C36" s="175"/>
      <c r="D36" s="175"/>
      <c r="E36" s="176"/>
      <c r="F36" s="46">
        <f>F34+F35</f>
        <v>74446.308048000006</v>
      </c>
    </row>
  </sheetData>
  <mergeCells count="13">
    <mergeCell ref="B6:C6"/>
    <mergeCell ref="B24:C24"/>
    <mergeCell ref="B26:C26"/>
    <mergeCell ref="E26:F26"/>
    <mergeCell ref="B30:E30"/>
    <mergeCell ref="D27:D28"/>
    <mergeCell ref="B27:C28"/>
    <mergeCell ref="E27:F28"/>
    <mergeCell ref="B31:E31"/>
    <mergeCell ref="B32:E32"/>
    <mergeCell ref="B34:E34"/>
    <mergeCell ref="B35:E35"/>
    <mergeCell ref="B36:E36"/>
  </mergeCells>
  <pageMargins left="0.7" right="0.7" top="0.75" bottom="0.75" header="0.3" footer="0.3"/>
  <pageSetup paperSize="9" orientation="portrait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I40"/>
  <sheetViews>
    <sheetView topLeftCell="A7" workbookViewId="0">
      <selection activeCell="I25" sqref="I25"/>
    </sheetView>
  </sheetViews>
  <sheetFormatPr baseColWidth="10" defaultColWidth="11" defaultRowHeight="37.5" customHeight="1"/>
  <cols>
    <col min="1" max="1" width="2.453125" customWidth="1"/>
    <col min="2" max="2" width="10.26953125" customWidth="1"/>
    <col min="3" max="3" width="35.453125" customWidth="1"/>
    <col min="4" max="4" width="11.54296875" customWidth="1"/>
    <col min="5" max="5" width="21.1796875" customWidth="1"/>
  </cols>
  <sheetData>
    <row r="1" spans="4:5" ht="14.5"/>
    <row r="2" spans="4:5" ht="14.5">
      <c r="D2" s="1"/>
      <c r="E2" s="2"/>
    </row>
    <row r="3" spans="4:5" ht="14.5">
      <c r="D3" s="1"/>
      <c r="E3" s="2"/>
    </row>
    <row r="4" spans="4:5" ht="14.5">
      <c r="D4" s="1"/>
      <c r="E4" s="2"/>
    </row>
    <row r="5" spans="4:5" ht="14.5">
      <c r="D5" s="1"/>
      <c r="E5" s="2"/>
    </row>
    <row r="6" spans="4:5" ht="14.5">
      <c r="D6" s="3"/>
      <c r="E6" s="2"/>
    </row>
    <row r="7" spans="4:5" ht="14.5">
      <c r="D7" s="3"/>
      <c r="E7" s="2"/>
    </row>
    <row r="8" spans="4:5" ht="14.5">
      <c r="D8" s="3"/>
      <c r="E8" s="2"/>
    </row>
    <row r="9" spans="4:5" ht="14.5">
      <c r="D9" s="4"/>
    </row>
    <row r="10" spans="4:5" ht="14.5"/>
    <row r="11" spans="4:5" ht="14.5">
      <c r="D11" s="5"/>
      <c r="E11" s="6"/>
    </row>
    <row r="12" spans="4:5" ht="14.5">
      <c r="D12" s="5"/>
      <c r="E12" s="6"/>
    </row>
    <row r="13" spans="4:5" ht="14.5">
      <c r="D13" s="5"/>
      <c r="E13" s="6"/>
    </row>
    <row r="14" spans="4:5" ht="14.5">
      <c r="D14" s="5"/>
      <c r="E14" s="6"/>
    </row>
    <row r="15" spans="4:5" ht="14.5">
      <c r="D15" s="5"/>
      <c r="E15" s="6"/>
    </row>
    <row r="16" spans="4:5" ht="14.5">
      <c r="D16" s="5"/>
      <c r="E16" s="6"/>
    </row>
    <row r="17" spans="2:9" ht="14.5">
      <c r="D17" s="5"/>
      <c r="E17" s="6"/>
    </row>
    <row r="18" spans="2:9" ht="14.5">
      <c r="D18" s="5"/>
      <c r="E18" s="6"/>
    </row>
    <row r="19" spans="2:9" ht="14.5">
      <c r="B19" s="7"/>
      <c r="D19" s="8"/>
      <c r="E19" s="8"/>
    </row>
    <row r="20" spans="2:9" ht="14.5">
      <c r="B20" s="9"/>
      <c r="D20" s="8"/>
      <c r="E20" s="8"/>
    </row>
    <row r="21" spans="2:9" ht="14.5">
      <c r="B21" s="9"/>
      <c r="D21" s="8"/>
      <c r="E21" s="8"/>
    </row>
    <row r="22" spans="2:9" ht="14.5">
      <c r="B22" s="9"/>
      <c r="D22" s="8"/>
      <c r="E22" s="8"/>
    </row>
    <row r="23" spans="2:9" ht="14.5">
      <c r="B23" s="9"/>
      <c r="D23" s="8"/>
      <c r="E23" s="8"/>
    </row>
    <row r="24" spans="2:9" ht="14.5">
      <c r="B24" s="10" t="s">
        <v>0</v>
      </c>
      <c r="C24" s="10" t="s">
        <v>1</v>
      </c>
      <c r="D24" s="10" t="s">
        <v>2</v>
      </c>
      <c r="E24" s="10" t="s">
        <v>3</v>
      </c>
    </row>
    <row r="25" spans="2:9" ht="54" customHeight="1">
      <c r="B25" s="11"/>
      <c r="C25" s="12" t="s">
        <v>83</v>
      </c>
      <c r="D25" s="13">
        <v>942.4</v>
      </c>
      <c r="E25" s="14">
        <v>22.5</v>
      </c>
      <c r="F25" s="15"/>
    </row>
    <row r="26" spans="2:9" ht="42.75" customHeight="1">
      <c r="B26" s="16"/>
      <c r="C26" s="12" t="s">
        <v>138</v>
      </c>
      <c r="D26" s="13">
        <v>1776.56</v>
      </c>
      <c r="E26" s="14">
        <v>21.5</v>
      </c>
    </row>
    <row r="27" spans="2:9" ht="34.5" customHeight="1">
      <c r="B27" s="16"/>
      <c r="C27" s="12" t="s">
        <v>139</v>
      </c>
      <c r="D27" s="13">
        <v>90.24</v>
      </c>
      <c r="E27" s="14">
        <v>116</v>
      </c>
    </row>
    <row r="28" spans="2:9" ht="44.25" customHeight="1">
      <c r="B28" s="16"/>
      <c r="C28" s="12" t="s">
        <v>88</v>
      </c>
      <c r="D28" s="13">
        <v>71.34</v>
      </c>
      <c r="E28" s="14">
        <v>22.5</v>
      </c>
    </row>
    <row r="29" spans="2:9" ht="14.5">
      <c r="B29" s="16"/>
      <c r="C29" s="17"/>
      <c r="D29" s="18"/>
      <c r="E29" s="18"/>
    </row>
    <row r="30" spans="2:9" ht="14.5">
      <c r="B30" s="19"/>
      <c r="C30" s="20"/>
      <c r="D30" s="20"/>
      <c r="E30" s="20"/>
    </row>
    <row r="31" spans="2:9" ht="14.5">
      <c r="B31" s="19"/>
      <c r="C31" s="20"/>
      <c r="D31" s="20"/>
      <c r="E31" s="20"/>
    </row>
    <row r="32" spans="2:9" ht="14.5">
      <c r="B32" s="19"/>
      <c r="C32" s="20"/>
      <c r="D32" s="20"/>
      <c r="E32" s="20"/>
      <c r="I32" t="s">
        <v>6</v>
      </c>
    </row>
    <row r="33" spans="1:6" ht="41.25" customHeight="1">
      <c r="B33" s="21"/>
      <c r="C33" s="22"/>
      <c r="D33" s="22"/>
      <c r="E33" s="22"/>
    </row>
    <row r="34" spans="1:6" ht="14.5">
      <c r="A34" s="23"/>
      <c r="B34" s="23"/>
      <c r="C34" s="137" t="s">
        <v>153</v>
      </c>
      <c r="D34" s="138"/>
      <c r="E34" s="139"/>
    </row>
    <row r="35" spans="1:6" ht="14.5">
      <c r="B35" s="166"/>
      <c r="C35" s="166"/>
      <c r="D35" s="166"/>
      <c r="E35" s="166"/>
    </row>
    <row r="36" spans="1:6" ht="14.5">
      <c r="A36" s="141"/>
      <c r="B36" s="141"/>
      <c r="C36" s="141"/>
      <c r="D36" s="141"/>
      <c r="E36" s="141"/>
    </row>
    <row r="37" spans="1:6" ht="14.5">
      <c r="B37" s="166"/>
      <c r="C37" s="166"/>
      <c r="D37" s="166"/>
      <c r="E37" s="166"/>
    </row>
    <row r="38" spans="1:6" ht="14.5">
      <c r="E38" s="6"/>
    </row>
    <row r="39" spans="1:6" ht="14.5">
      <c r="B39" s="142"/>
      <c r="C39" s="142"/>
      <c r="D39" s="142"/>
      <c r="E39" s="142"/>
      <c r="F39" s="24"/>
    </row>
    <row r="40" spans="1:6" ht="14.5"/>
  </sheetData>
  <mergeCells count="5">
    <mergeCell ref="C34:E34"/>
    <mergeCell ref="B35:E35"/>
    <mergeCell ref="A36:E36"/>
    <mergeCell ref="B37:E37"/>
    <mergeCell ref="B39:E39"/>
  </mergeCells>
  <pageMargins left="0.7" right="0.7" top="0.75" bottom="0.75" header="0.3" footer="0.3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80</vt:i4>
      </vt:variant>
    </vt:vector>
  </HeadingPairs>
  <TitlesOfParts>
    <vt:vector size="80" baseType="lpstr">
      <vt:lpstr>BL ACIMA HAY RIAD 2019-038</vt:lpstr>
      <vt:lpstr>ACIMA HAY RIAD 038</vt:lpstr>
      <vt:lpstr>bl ACIMA GHANDI 2019-039</vt:lpstr>
      <vt:lpstr>ACIMA GHANDI 2019-039</vt:lpstr>
      <vt:lpstr>ACIM TWIN 2019-040</vt:lpstr>
      <vt:lpstr>BL ACIMA  TWIN 2019-040</vt:lpstr>
      <vt:lpstr>BL ACIMA TWIN 2019-041</vt:lpstr>
      <vt:lpstr>ACIMA TWIN 2019-041</vt:lpstr>
      <vt:lpstr>ACIMA HAY RIAD 2019-024</vt:lpstr>
      <vt:lpstr>BL ACIMA HAY RIAD 2019-024</vt:lpstr>
      <vt:lpstr>ACIMA GUELIZ 2019-037</vt:lpstr>
      <vt:lpstr>BL ACIMA GUELIZ 2019-037</vt:lpstr>
      <vt:lpstr>ACIMA INARA 2019-035</vt:lpstr>
      <vt:lpstr>bl acima INARA 2019-035</vt:lpstr>
      <vt:lpstr>BL ACIMA EMILE ZOLA</vt:lpstr>
      <vt:lpstr>ACIMA EMILE 2019-036</vt:lpstr>
      <vt:lpstr>ACIMA GUELIZ 2019-042</vt:lpstr>
      <vt:lpstr>BL ACIMA GUELIZ 2019-042</vt:lpstr>
      <vt:lpstr>BL ACIMA GUELIZ 2019-043</vt:lpstr>
      <vt:lpstr>ACIMA GUELIZ 2019-043</vt:lpstr>
      <vt:lpstr>ACIMA GUELIZ 2019-044</vt:lpstr>
      <vt:lpstr>BL ACIMA GUELIZ 2019-044</vt:lpstr>
      <vt:lpstr>acima GHANDI 2019-045</vt:lpstr>
      <vt:lpstr>bl acima ghandi 2019-045</vt:lpstr>
      <vt:lpstr>ACIMA AL MASSIRA 2019-046</vt:lpstr>
      <vt:lpstr>BL ACIMA AL MASSIRA 2019-046</vt:lpstr>
      <vt:lpstr>MODELE FAC</vt:lpstr>
      <vt:lpstr>MODELE BL</vt:lpstr>
      <vt:lpstr>ACIMA RYAD ANFA 2019-61</vt:lpstr>
      <vt:lpstr>BL ACIMA RYAD ANFA 2019-061</vt:lpstr>
      <vt:lpstr>ACIMA MEKNES ZAITOUN</vt:lpstr>
      <vt:lpstr>BL ACIMA MEKNES ZAITOUN</vt:lpstr>
      <vt:lpstr>BL MEKNES ZAITOUN 2019-079</vt:lpstr>
      <vt:lpstr>MEKNES ZAITOUN 2019-079</vt:lpstr>
      <vt:lpstr>CODE</vt:lpstr>
      <vt:lpstr>ACIMA RABAT OCEAN2020-016</vt:lpstr>
      <vt:lpstr>BL ACIMA RABAT OCEAN</vt:lpstr>
      <vt:lpstr>BL TANGER CITY CENTER 2021-010</vt:lpstr>
      <vt:lpstr>TANGER CITY CENTER 2021-010</vt:lpstr>
      <vt:lpstr>BL MAR MARKET SIDI OTHMANE</vt:lpstr>
      <vt:lpstr>mar market s othmane 2021-065</vt:lpstr>
      <vt:lpstr>BORDEREAU DES PRIX</vt:lpstr>
      <vt:lpstr>Feuil1</vt:lpstr>
      <vt:lpstr>MARK FES-SEFROU</vt:lpstr>
      <vt:lpstr>BL MARK FES SEFROU 24-012</vt:lpstr>
      <vt:lpstr>BL MARK HARHOURA 24-063</vt:lpstr>
      <vt:lpstr>Feuil2</vt:lpstr>
      <vt:lpstr>Feuil3</vt:lpstr>
      <vt:lpstr>MARK HARHOURA 24-063</vt:lpstr>
      <vt:lpstr>MARK TEMARA 24-060</vt:lpstr>
      <vt:lpstr>BL MARK TEMARA 24-060</vt:lpstr>
      <vt:lpstr>MARK KENITRA 2024-062</vt:lpstr>
      <vt:lpstr>BL MARKT KENITRA 24-062</vt:lpstr>
      <vt:lpstr>MARK VILLE VERTE 25-001</vt:lpstr>
      <vt:lpstr>BL MARK VILLE VERTE 25-001</vt:lpstr>
      <vt:lpstr>MARK RABAT C CENTER 25-025</vt:lpstr>
      <vt:lpstr>BL MARK RABAT C CENTER 25-025</vt:lpstr>
      <vt:lpstr>MARK TANGER BOULEVARD 25-110</vt:lpstr>
      <vt:lpstr>BL MARK TANGER BOULEVARD 25-110</vt:lpstr>
      <vt:lpstr>MARK TANGER BOULEVARD 25-111</vt:lpstr>
      <vt:lpstr>BL MARK TANGER BOULEVARD 25-111</vt:lpstr>
      <vt:lpstr>MARK TANGER BOULEVARD 25-112</vt:lpstr>
      <vt:lpstr>BL MARK TANGER BOULEVARD 25-112</vt:lpstr>
      <vt:lpstr>MARK KENITRA MAAMOURA 26-010</vt:lpstr>
      <vt:lpstr>MARK TANGER CITY CENTER 25-115</vt:lpstr>
      <vt:lpstr>BL MARK TANGER CITY CENTER 115</vt:lpstr>
      <vt:lpstr>MARK ZAER 26-0177777</vt:lpstr>
      <vt:lpstr>BL MARK ZAER 26-01777777</vt:lpstr>
      <vt:lpstr>MARK TANGER 26-0188888</vt:lpstr>
      <vt:lpstr>BL MARK TANGER 26-0188888</vt:lpstr>
      <vt:lpstr>MARK IBERIA 26-047</vt:lpstr>
      <vt:lpstr>BL MARK IBERIA 26-047</vt:lpstr>
      <vt:lpstr>MARK TETOUAN 26-048</vt:lpstr>
      <vt:lpstr>BL MARK TETOUAN 26-048</vt:lpstr>
      <vt:lpstr>MARK BO VILLAGE 26-017</vt:lpstr>
      <vt:lpstr>BL MARK BO VILLAGE 26-017</vt:lpstr>
      <vt:lpstr>MARK OCEAN2 RABAT 26-018</vt:lpstr>
      <vt:lpstr>BL OCEAN 2 RABAT 26-018</vt:lpstr>
      <vt:lpstr>MARK MAAMOURA 26-019</vt:lpstr>
      <vt:lpstr>BL MARK MAAMOURA 26-019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Othmane Tanji</cp:lastModifiedBy>
  <cp:lastPrinted>2026-07-14T15:56:00Z</cp:lastPrinted>
  <dcterms:created xsi:type="dcterms:W3CDTF">2015-01-19T16:49:00Z</dcterms:created>
  <dcterms:modified xsi:type="dcterms:W3CDTF">2026-08-31T15:23:42Z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B6AABBD7C7E24F55AEEC1D10347FC515_12</vt:lpwstr>
  </property>
  <property fmtid="{D5CDD505-2E9C-101B-9397-08002B2CF9AE}" pid="3" name="KSOProductBuildVer">
    <vt:lpwstr>1036-12.1.0.28032</vt:lpwstr>
  </property>
  <property fmtid="{D5CDD505-2E9C-101B-9397-08002B2CF9AE}" pid="4" name="CalculationRule">
    <vt:i4>0</vt:i4>
  </property>
</Properties>
</file>